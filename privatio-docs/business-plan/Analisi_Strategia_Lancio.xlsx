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nzioni" sheetId="1" state="visible" r:id="rId3"/>
    <sheet name="A - Prezzo Pieno" sheetId="2" state="visible" r:id="rId4"/>
    <sheet name="B - Tua Proposta" sheetId="3" state="visible" r:id="rId5"/>
    <sheet name="C - Alternativa Consigliata" sheetId="4" state="visible" r:id="rId6"/>
    <sheet name="Confronto Scenar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<sst xmlns="http://schemas.openxmlformats.org/spreadsheetml/2006/main" count="150" uniqueCount="96">
  <si>
    <t xml:space="preserve">ANALISI FINANZIARIA — STRATEGIA DI LANCIO PRIVATIO</t>
  </si>
  <si>
    <t xml:space="preserve">PARAMETRI DI INPUT (celle gialle = modificabili)</t>
  </si>
  <si>
    <t xml:space="preserve">Mix agenzie per tier</t>
  </si>
  <si>
    <t xml:space="preserve">% del totale</t>
  </si>
  <si>
    <t xml:space="preserve">Prezzo medio €/mese</t>
  </si>
  <si>
    <t xml:space="preserve">Max agenzie/zona</t>
  </si>
  <si>
    <t xml:space="preserve">Note</t>
  </si>
  <si>
    <t xml:space="preserve">BASE (comuni &lt;20k)</t>
  </si>
  <si>
    <t xml:space="preserve">€249-499/mese</t>
  </si>
  <si>
    <t xml:space="preserve">URBANA (città 20k-100k)</t>
  </si>
  <si>
    <t xml:space="preserve">€499-999/mese</t>
  </si>
  <si>
    <t xml:space="preserve">PREMIUM (centri storici)</t>
  </si>
  <si>
    <t xml:space="preserve">€999-2.600/mese</t>
  </si>
  <si>
    <t xml:space="preserve">Prezzo medio ponderato €/mese</t>
  </si>
  <si>
    <t xml:space="preserve">ACQUISIZIONE AGENZIE (primi 12 mesi)</t>
  </si>
  <si>
    <t xml:space="preserve">Parametro</t>
  </si>
  <si>
    <t xml:space="preserve">Valore</t>
  </si>
  <si>
    <t xml:space="preserve">Unità</t>
  </si>
  <si>
    <t xml:space="preserve">Agenzie target mese 1 (free trial)</t>
  </si>
  <si>
    <t xml:space="preserve">agenzie</t>
  </si>
  <si>
    <t xml:space="preserve">Obiettivo conservativo primo mese</t>
  </si>
  <si>
    <t xml:space="preserve">Crescita mensile agenzie (mesi 2-3 free)</t>
  </si>
  <si>
    <t xml:space="preserve">agenzie/mese</t>
  </si>
  <si>
    <t xml:space="preserve">Passaparola durante trial</t>
  </si>
  <si>
    <t xml:space="preserve">Crescita mensile agenzie (mesi 4-12 a pagamento)</t>
  </si>
  <si>
    <t xml:space="preserve">Crescita organica post-trial</t>
  </si>
  <si>
    <t xml:space="preserve">Tasso conversione free→paid</t>
  </si>
  <si>
    <t xml:space="preserve">%</t>
  </si>
  <si>
    <t xml:space="preserve">Benchmark SaaS B2B: 15-30%</t>
  </si>
  <si>
    <t xml:space="preserve">Churn mensile post-conversione</t>
  </si>
  <si>
    <t xml:space="preserve">Benchmark SaaS B2B: 3-7%</t>
  </si>
  <si>
    <t xml:space="preserve">Sconto anno 1 (proposta Federico)</t>
  </si>
  <si>
    <t xml:space="preserve">20% riduzione tariffe primo anno</t>
  </si>
  <si>
    <t xml:space="preserve">Costi fissi mensili (server, tools, ecc.)</t>
  </si>
  <si>
    <t xml:space="preserve">€/mese</t>
  </si>
  <si>
    <t xml:space="preserve">Vercel Pro + Supabase + tools</t>
  </si>
  <si>
    <t xml:space="preserve">Costi marketing mensile</t>
  </si>
  <si>
    <t xml:space="preserve">Social ads, contenuti, outreach</t>
  </si>
  <si>
    <t xml:space="preserve">Costi una tantum lancio</t>
  </si>
  <si>
    <t xml:space="preserve">€</t>
  </si>
  <si>
    <t xml:space="preserve">Legale, P.IVA, setup iniziale</t>
  </si>
  <si>
    <t xml:space="preserve">SCENARIO A — PREZZO PIENO DAL MESE 1 (no trial, no sconti)</t>
  </si>
  <si>
    <t xml:space="preserve">Mese 1</t>
  </si>
  <si>
    <t xml:space="preserve">Mese 2</t>
  </si>
  <si>
    <t xml:space="preserve">Mese 3</t>
  </si>
  <si>
    <t xml:space="preserve">Mese 4</t>
  </si>
  <si>
    <t xml:space="preserve">Mese 5</t>
  </si>
  <si>
    <t xml:space="preserve">Mese 6</t>
  </si>
  <si>
    <t xml:space="preserve">Mese 7</t>
  </si>
  <si>
    <t xml:space="preserve">Mese 8</t>
  </si>
  <si>
    <t xml:space="preserve">Mese 9</t>
  </si>
  <si>
    <t xml:space="preserve">Mese 10</t>
  </si>
  <si>
    <t xml:space="preserve">Mese 11</t>
  </si>
  <si>
    <t xml:space="preserve">Mese 12</t>
  </si>
  <si>
    <t xml:space="preserve">TOTALE 12 MESI</t>
  </si>
  <si>
    <t xml:space="preserve">Nuove agenzie iscritte</t>
  </si>
  <si>
    <t xml:space="preserve">Agenzie che abbandonano (churn 5%)</t>
  </si>
  <si>
    <t xml:space="preserve">Agenzie attive (paganti)</t>
  </si>
  <si>
    <t xml:space="preserve">RICAVI</t>
  </si>
  <si>
    <t xml:space="preserve">Revenue mensile (prezzo pieno)</t>
  </si>
  <si>
    <t xml:space="preserve">COSTI</t>
  </si>
  <si>
    <t xml:space="preserve">Costi fissi (server, tools)</t>
  </si>
  <si>
    <t xml:space="preserve">Costi marketing</t>
  </si>
  <si>
    <t xml:space="preserve">Totale costi</t>
  </si>
  <si>
    <t xml:space="preserve">MARGINE</t>
  </si>
  <si>
    <t xml:space="preserve">Profitto/Perdita mensile</t>
  </si>
  <si>
    <t xml:space="preserve">Profitto/Perdita cumulativo</t>
  </si>
  <si>
    <t xml:space="preserve">SCENARIO B — 3 MESI FREE + 20% SCONTO ANNO 1 (proposta Federico)</t>
  </si>
  <si>
    <t xml:space="preserve">Di cui in periodo free (mesi 1-3)</t>
  </si>
  <si>
    <t xml:space="preserve">Agenzie attive totali</t>
  </si>
  <si>
    <t xml:space="preserve">Di cui paganti (80% prezzo)</t>
  </si>
  <si>
    <t xml:space="preserve">Revenue mensile (prezzo scontato -20%)</t>
  </si>
  <si>
    <t xml:space="preserve">SCENARIO C — 3 MESI FREE + "PREZZO FONDATORE" BLOCCATO (no sconto esplicito)</t>
  </si>
  <si>
    <t xml:space="preserve">Di cui paganti (prezzo fondatore = -10%)</t>
  </si>
  <si>
    <t xml:space="preserve">Revenue mensile (prezzo fondatore -10%)</t>
  </si>
  <si>
    <t xml:space="preserve">CONFRONTO SCENARI — RIEPILOGO 12 MESI</t>
  </si>
  <si>
    <t xml:space="preserve">Metrica</t>
  </si>
  <si>
    <t xml:space="preserve">A: Prezzo Pieno</t>
  </si>
  <si>
    <t xml:space="preserve">B: Tua Proposta</t>
  </si>
  <si>
    <t xml:space="preserve">C: Alternativa</t>
  </si>
  <si>
    <t xml:space="preserve">Differenza B vs A</t>
  </si>
  <si>
    <t xml:space="preserve">Agenzie iscritte (totale 12 mesi)</t>
  </si>
  <si>
    <t xml:space="preserve">Agenzie attive al mese 12</t>
  </si>
  <si>
    <t xml:space="preserve">Revenue totale 12 mesi</t>
  </si>
  <si>
    <t xml:space="preserve">Costi totali 12 mesi</t>
  </si>
  <si>
    <t xml:space="preserve">Profitto/Perdita 12 mesi</t>
  </si>
  <si>
    <t xml:space="preserve">Mesi in perdita (Scenario A)</t>
  </si>
  <si>
    <t xml:space="preserve">Mesi in perdita (Scenario B)</t>
  </si>
  <si>
    <t xml:space="preserve">Mesi in perdita (Scenario C)</t>
  </si>
  <si>
    <t xml:space="preserve">RACCOMANDAZIONE</t>
  </si>
  <si>
    <t xml:space="preserve">Lo Scenario C (3 mesi free + prezzo fondatore bloccato al -10%) offre il miglior equilibrio:</t>
  </si>
  <si>
    <t xml:space="preserve">1. Stessa capacità di acquisizione del free trial (risolve il chicken-and-egg)</t>
  </si>
  <si>
    <t xml:space="preserve">2. Revenue più alta vs Scenario B grazie allo sconto ridotto (10% vs 20%)</t>
  </si>
  <si>
    <t xml:space="preserve">3. Migliore percezione: "prezzo fondatore bloccato" &gt; "sconto 20%" (framing psicologico)</t>
  </si>
  <si>
    <t xml:space="preserve">4. Conversione attesa più alta (30% vs 25%) grazie al framing di esclusività</t>
  </si>
  <si>
    <t xml:space="preserve">5. Transizione al prezzo pieno più naturale (il prezzo fondatore resta, i nuovi pagano di più)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</si>
</sst>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&quot; €&quot;"/>
    <numFmt numFmtId="167" formatCode="#,##0"/>
    <numFmt numFmtId="168" formatCode="#,##0&quot; €&quot;;\(#,##0&quot;) €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B4F7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F72"/>
        <bgColor rgb="FF1A5276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FFF9C4"/>
        <bgColor rgb="FFFFFF99"/>
      </patternFill>
    </fill>
    <fill>
      <patternFill patternType="solid">
        <fgColor rgb="FFD5F5E3"/>
        <bgColor rgb="FFD6EAF8"/>
      </patternFill>
    </fill>
    <fill>
      <patternFill patternType="solid">
        <fgColor rgb="FF1A5276"/>
        <bgColor rgb="FF1B4F72"/>
      </patternFill>
    </fill>
    <fill>
      <patternFill patternType="solid">
        <fgColor rgb="FF145A32"/>
        <bgColor rgb="FF1B4F72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E74C3C"/>
      <rgbColor rgb="FF666666"/>
      <rgbColor rgb="FF969696"/>
      <rgbColor rgb="FF1B4F72"/>
      <rgbColor rgb="FF27AE60"/>
      <rgbColor rgb="FF003300"/>
      <rgbColor rgb="FF333300"/>
      <rgbColor rgb="FF993300"/>
      <rgbColor rgb="FF993366"/>
      <rgbColor rgb="FF1A5276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5" customFormat="false" ht="23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15" hidden="false" customHeight="false" outlineLevel="0" collapsed="false">
      <c r="A6" s="4" t="s">
        <v>7</v>
      </c>
      <c r="B6" s="5" t="n">
        <v>0.55</v>
      </c>
      <c r="C6" s="6" t="n">
        <v>374</v>
      </c>
      <c r="D6" s="7" t="n">
        <v>3.5</v>
      </c>
      <c r="E6" s="4" t="s">
        <v>8</v>
      </c>
    </row>
    <row r="7" customFormat="false" ht="15" hidden="false" customHeight="false" outlineLevel="0" collapsed="false">
      <c r="A7" s="4" t="s">
        <v>9</v>
      </c>
      <c r="B7" s="5" t="n">
        <v>0.3</v>
      </c>
      <c r="C7" s="6" t="n">
        <v>749</v>
      </c>
      <c r="D7" s="7" t="n">
        <v>5</v>
      </c>
      <c r="E7" s="4" t="s">
        <v>10</v>
      </c>
    </row>
    <row r="8" customFormat="false" ht="15" hidden="false" customHeight="false" outlineLevel="0" collapsed="false">
      <c r="A8" s="4" t="s">
        <v>11</v>
      </c>
      <c r="B8" s="5" t="n">
        <v>0.15</v>
      </c>
      <c r="C8" s="6" t="n">
        <v>1800</v>
      </c>
      <c r="D8" s="7" t="n">
        <v>5.5</v>
      </c>
      <c r="E8" s="4" t="s">
        <v>12</v>
      </c>
    </row>
    <row r="9" customFormat="false" ht="15" hidden="false" customHeight="false" outlineLevel="0" collapsed="false">
      <c r="A9" s="8" t="s">
        <v>13</v>
      </c>
      <c r="B9" s="9" t="n">
        <f aca="false">B6*C6+B7*C7+B8*C8</f>
        <v>700.4</v>
      </c>
      <c r="C9" s="10"/>
      <c r="D9" s="10"/>
      <c r="E9" s="10"/>
    </row>
    <row r="11" customFormat="false" ht="15" hidden="false" customHeight="false" outlineLevel="0" collapsed="false">
      <c r="A11" s="2" t="s">
        <v>14</v>
      </c>
      <c r="B11" s="2"/>
      <c r="C11" s="2"/>
      <c r="D11" s="2"/>
      <c r="E11" s="2"/>
    </row>
    <row r="12" customFormat="false" ht="15" hidden="false" customHeight="false" outlineLevel="0" collapsed="false">
      <c r="A12" s="11" t="s">
        <v>15</v>
      </c>
      <c r="B12" s="11" t="s">
        <v>16</v>
      </c>
      <c r="C12" s="11" t="s">
        <v>17</v>
      </c>
      <c r="D12" s="11"/>
      <c r="E12" s="11" t="s">
        <v>6</v>
      </c>
    </row>
    <row r="13" customFormat="false" ht="15" hidden="false" customHeight="false" outlineLevel="0" collapsed="false">
      <c r="A13" s="4" t="s">
        <v>18</v>
      </c>
      <c r="B13" s="12" t="n">
        <v>15</v>
      </c>
      <c r="C13" s="4" t="s">
        <v>19</v>
      </c>
      <c r="D13" s="10"/>
      <c r="E13" s="13" t="s">
        <v>20</v>
      </c>
    </row>
    <row r="14" customFormat="false" ht="15" hidden="false" customHeight="false" outlineLevel="0" collapsed="false">
      <c r="A14" s="4" t="s">
        <v>21</v>
      </c>
      <c r="B14" s="12" t="n">
        <v>8</v>
      </c>
      <c r="C14" s="4" t="s">
        <v>22</v>
      </c>
      <c r="D14" s="10"/>
      <c r="E14" s="13" t="s">
        <v>23</v>
      </c>
    </row>
    <row r="15" customFormat="false" ht="15" hidden="false" customHeight="false" outlineLevel="0" collapsed="false">
      <c r="A15" s="4" t="s">
        <v>24</v>
      </c>
      <c r="B15" s="12" t="n">
        <v>5</v>
      </c>
      <c r="C15" s="4" t="s">
        <v>22</v>
      </c>
      <c r="D15" s="10"/>
      <c r="E15" s="13" t="s">
        <v>25</v>
      </c>
    </row>
    <row r="16" customFormat="false" ht="15" hidden="false" customHeight="false" outlineLevel="0" collapsed="false">
      <c r="A16" s="4" t="s">
        <v>26</v>
      </c>
      <c r="B16" s="14" t="n">
        <v>0.25</v>
      </c>
      <c r="C16" s="4" t="s">
        <v>27</v>
      </c>
      <c r="D16" s="10"/>
      <c r="E16" s="13" t="s">
        <v>28</v>
      </c>
    </row>
    <row r="17" customFormat="false" ht="15" hidden="false" customHeight="false" outlineLevel="0" collapsed="false">
      <c r="A17" s="4" t="s">
        <v>29</v>
      </c>
      <c r="B17" s="14" t="n">
        <v>0.05</v>
      </c>
      <c r="C17" s="4" t="s">
        <v>27</v>
      </c>
      <c r="D17" s="10"/>
      <c r="E17" s="13" t="s">
        <v>30</v>
      </c>
    </row>
    <row r="18" customFormat="false" ht="15" hidden="false" customHeight="false" outlineLevel="0" collapsed="false">
      <c r="A18" s="4" t="s">
        <v>31</v>
      </c>
      <c r="B18" s="14" t="n">
        <v>0.2</v>
      </c>
      <c r="C18" s="4" t="s">
        <v>27</v>
      </c>
      <c r="D18" s="10"/>
      <c r="E18" s="13" t="s">
        <v>32</v>
      </c>
    </row>
    <row r="19" customFormat="false" ht="15" hidden="false" customHeight="false" outlineLevel="0" collapsed="false">
      <c r="A19" s="4" t="s">
        <v>33</v>
      </c>
      <c r="B19" s="15" t="n">
        <v>150</v>
      </c>
      <c r="C19" s="4" t="s">
        <v>34</v>
      </c>
      <c r="D19" s="10"/>
      <c r="E19" s="13" t="s">
        <v>35</v>
      </c>
    </row>
    <row r="20" customFormat="false" ht="15" hidden="false" customHeight="false" outlineLevel="0" collapsed="false">
      <c r="A20" s="4" t="s">
        <v>36</v>
      </c>
      <c r="B20" s="15" t="n">
        <v>300</v>
      </c>
      <c r="C20" s="4" t="s">
        <v>34</v>
      </c>
      <c r="D20" s="10"/>
      <c r="E20" s="13" t="s">
        <v>37</v>
      </c>
    </row>
    <row r="21" customFormat="false" ht="15" hidden="false" customHeight="false" outlineLevel="0" collapsed="false">
      <c r="A21" s="4" t="s">
        <v>38</v>
      </c>
      <c r="B21" s="15" t="n">
        <v>1500</v>
      </c>
      <c r="C21" s="4" t="s">
        <v>39</v>
      </c>
      <c r="D21" s="10"/>
      <c r="E21" s="13" t="s">
        <v>40</v>
      </c>
    </row>
  </sheetData>
  <mergeCells count="3">
    <mergeCell ref="A1:E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6.15" hidden="false" customHeight="false" outlineLevel="0" collapsed="false">
      <c r="A1" s="16" t="s">
        <v>41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" hidden="false" customHeight="false" outlineLevel="0" collapsed="false">
      <c r="A2" s="10"/>
      <c r="B2" s="17" t="s">
        <v>42</v>
      </c>
      <c r="C2" s="17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 t="s">
        <v>53</v>
      </c>
      <c r="N2" s="11" t="s">
        <v>54</v>
      </c>
    </row>
    <row r="3" customFormat="false" ht="15" hidden="false" customHeight="false" outlineLevel="0" collapsed="false">
      <c r="A3" s="8" t="s">
        <v>55</v>
      </c>
      <c r="B3" s="18" t="n">
        <v>8</v>
      </c>
      <c r="C3" s="18" t="n">
        <v>4</v>
      </c>
      <c r="D3" s="18" t="n">
        <v>4</v>
      </c>
      <c r="E3" s="18" t="n">
        <v>4</v>
      </c>
      <c r="F3" s="18" t="n">
        <v>4</v>
      </c>
      <c r="G3" s="18" t="n">
        <v>4</v>
      </c>
      <c r="H3" s="18" t="n">
        <v>4</v>
      </c>
      <c r="I3" s="18" t="n">
        <v>4</v>
      </c>
      <c r="J3" s="18" t="n">
        <v>4</v>
      </c>
      <c r="K3" s="18" t="n">
        <v>4</v>
      </c>
      <c r="L3" s="18" t="n">
        <v>4</v>
      </c>
      <c r="M3" s="18" t="n">
        <v>4</v>
      </c>
      <c r="N3" s="8" t="n">
        <f aca="false">SUM(B3:M3)</f>
        <v>52</v>
      </c>
    </row>
    <row r="4" customFormat="false" ht="15" hidden="false" customHeight="false" outlineLevel="0" collapsed="false">
      <c r="A4" s="4" t="s">
        <v>56</v>
      </c>
      <c r="B4" s="10" t="n">
        <v>0</v>
      </c>
      <c r="C4" s="10" t="n">
        <f aca="false">ROUND(B5*Assunzioni!B17,0)</f>
        <v>0</v>
      </c>
      <c r="D4" s="10" t="n">
        <f aca="false">ROUND(C5*Assunzioni!B17,0)</f>
        <v>1</v>
      </c>
      <c r="E4" s="10" t="n">
        <f aca="false">ROUND(D5*Assunzioni!B17,0)</f>
        <v>1</v>
      </c>
      <c r="F4" s="10" t="n">
        <f aca="false">ROUND(E5*Assunzioni!B17,0)</f>
        <v>1</v>
      </c>
      <c r="G4" s="10" t="n">
        <f aca="false">ROUND(F5*Assunzioni!B17,0)</f>
        <v>1</v>
      </c>
      <c r="H4" s="10" t="n">
        <f aca="false">ROUND(G5*Assunzioni!B17,0)</f>
        <v>1</v>
      </c>
      <c r="I4" s="10" t="n">
        <f aca="false">ROUND(H5*Assunzioni!B17,0)</f>
        <v>1</v>
      </c>
      <c r="J4" s="10" t="n">
        <f aca="false">ROUND(I5*Assunzioni!B17,0)</f>
        <v>2</v>
      </c>
      <c r="K4" s="10" t="n">
        <f aca="false">ROUND(J5*Assunzioni!B17,0)</f>
        <v>2</v>
      </c>
      <c r="L4" s="10" t="n">
        <f aca="false">ROUND(K5*Assunzioni!B17,0)</f>
        <v>2</v>
      </c>
      <c r="M4" s="10" t="n">
        <f aca="false">ROUND(L5*Assunzioni!B17,0)</f>
        <v>2</v>
      </c>
      <c r="N4" s="10" t="n">
        <f aca="false">SUM(B4:M4)</f>
        <v>14</v>
      </c>
    </row>
    <row r="5" customFormat="false" ht="15" hidden="false" customHeight="false" outlineLevel="0" collapsed="false">
      <c r="A5" s="19" t="s">
        <v>57</v>
      </c>
      <c r="B5" s="10" t="n">
        <f aca="false">B3</f>
        <v>8</v>
      </c>
      <c r="C5" s="10" t="n">
        <f aca="false">B5+C3-C4</f>
        <v>12</v>
      </c>
      <c r="D5" s="10" t="n">
        <f aca="false">C5+D3-D4</f>
        <v>15</v>
      </c>
      <c r="E5" s="10" t="n">
        <f aca="false">D5+E3-E4</f>
        <v>18</v>
      </c>
      <c r="F5" s="10" t="n">
        <f aca="false">E5+F3-F4</f>
        <v>21</v>
      </c>
      <c r="G5" s="10" t="n">
        <f aca="false">F5+G3-G4</f>
        <v>24</v>
      </c>
      <c r="H5" s="10" t="n">
        <f aca="false">G5+H3-H4</f>
        <v>27</v>
      </c>
      <c r="I5" s="10" t="n">
        <f aca="false">H5+I3-I4</f>
        <v>30</v>
      </c>
      <c r="J5" s="10" t="n">
        <f aca="false">I5+J3-J4</f>
        <v>32</v>
      </c>
      <c r="K5" s="10" t="n">
        <f aca="false">J5+K3-K4</f>
        <v>34</v>
      </c>
      <c r="L5" s="10" t="n">
        <f aca="false">K5+L3-L4</f>
        <v>36</v>
      </c>
      <c r="M5" s="10" t="n">
        <f aca="false">L5+M3-M4</f>
        <v>38</v>
      </c>
      <c r="N5" s="8" t="n">
        <f aca="false">M5</f>
        <v>38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20" t="s">
        <v>58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customFormat="false" ht="15" hidden="false" customHeight="false" outlineLevel="0" collapsed="false">
      <c r="A8" s="4" t="s">
        <v>59</v>
      </c>
      <c r="B8" s="22" t="n">
        <f aca="false">B5*Assunzioni!B9</f>
        <v>5603.2</v>
      </c>
      <c r="C8" s="22" t="n">
        <f aca="false">C5*Assunzioni!B9</f>
        <v>8404.8</v>
      </c>
      <c r="D8" s="22" t="n">
        <f aca="false">D5*Assunzioni!B9</f>
        <v>10506</v>
      </c>
      <c r="E8" s="22" t="n">
        <f aca="false">E5*Assunzioni!B9</f>
        <v>12607.2</v>
      </c>
      <c r="F8" s="22" t="n">
        <f aca="false">F5*Assunzioni!B9</f>
        <v>14708.4</v>
      </c>
      <c r="G8" s="22" t="n">
        <f aca="false">G5*Assunzioni!B9</f>
        <v>16809.6</v>
      </c>
      <c r="H8" s="22" t="n">
        <f aca="false">H5*Assunzioni!B9</f>
        <v>18910.8</v>
      </c>
      <c r="I8" s="22" t="n">
        <f aca="false">I5*Assunzioni!B9</f>
        <v>21012</v>
      </c>
      <c r="J8" s="22" t="n">
        <f aca="false">J5*Assunzioni!B9</f>
        <v>22412.8</v>
      </c>
      <c r="K8" s="22" t="n">
        <f aca="false">K5*Assunzioni!B9</f>
        <v>23813.6</v>
      </c>
      <c r="L8" s="22" t="n">
        <f aca="false">L5*Assunzioni!B9</f>
        <v>25214.4</v>
      </c>
      <c r="M8" s="22" t="n">
        <f aca="false">M5*Assunzioni!B9</f>
        <v>26615.2</v>
      </c>
      <c r="N8" s="9" t="n">
        <f aca="false">SUM(B8:M8)</f>
        <v>206618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customFormat="false" ht="15" hidden="false" customHeight="false" outlineLevel="0" collapsed="false">
      <c r="A10" s="20" t="s">
        <v>60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customFormat="false" ht="15" hidden="false" customHeight="false" outlineLevel="0" collapsed="false">
      <c r="A11" s="10" t="s">
        <v>61</v>
      </c>
      <c r="B11" s="22" t="n">
        <f aca="false">Assunzioni!B19</f>
        <v>150</v>
      </c>
      <c r="C11" s="22" t="n">
        <f aca="false">Assunzioni!B19</f>
        <v>150</v>
      </c>
      <c r="D11" s="22" t="n">
        <f aca="false">Assunzioni!B19</f>
        <v>150</v>
      </c>
      <c r="E11" s="22" t="n">
        <f aca="false">Assunzioni!B19</f>
        <v>150</v>
      </c>
      <c r="F11" s="22" t="n">
        <f aca="false">Assunzioni!B19</f>
        <v>150</v>
      </c>
      <c r="G11" s="22" t="n">
        <f aca="false">Assunzioni!B19</f>
        <v>150</v>
      </c>
      <c r="H11" s="22" t="n">
        <f aca="false">Assunzioni!B19</f>
        <v>150</v>
      </c>
      <c r="I11" s="22" t="n">
        <f aca="false">Assunzioni!B19</f>
        <v>150</v>
      </c>
      <c r="J11" s="22" t="n">
        <f aca="false">Assunzioni!B19</f>
        <v>150</v>
      </c>
      <c r="K11" s="22" t="n">
        <f aca="false">Assunzioni!B19</f>
        <v>150</v>
      </c>
      <c r="L11" s="22" t="n">
        <f aca="false">Assunzioni!B19</f>
        <v>150</v>
      </c>
      <c r="M11" s="22" t="n">
        <f aca="false">Assunzioni!B19</f>
        <v>150</v>
      </c>
      <c r="N11" s="22" t="n">
        <f aca="false">SUM(B11:M11)</f>
        <v>1800</v>
      </c>
    </row>
    <row r="12" customFormat="false" ht="15" hidden="false" customHeight="false" outlineLevel="0" collapsed="false">
      <c r="A12" s="10" t="s">
        <v>62</v>
      </c>
      <c r="B12" s="22" t="n">
        <f aca="false">Assunzioni!B20</f>
        <v>300</v>
      </c>
      <c r="C12" s="22" t="n">
        <f aca="false">Assunzioni!B20</f>
        <v>300</v>
      </c>
      <c r="D12" s="22" t="n">
        <f aca="false">Assunzioni!B20</f>
        <v>300</v>
      </c>
      <c r="E12" s="22" t="n">
        <f aca="false">Assunzioni!B20</f>
        <v>300</v>
      </c>
      <c r="F12" s="22" t="n">
        <f aca="false">Assunzioni!B20</f>
        <v>300</v>
      </c>
      <c r="G12" s="22" t="n">
        <f aca="false">Assunzioni!B20</f>
        <v>300</v>
      </c>
      <c r="H12" s="22" t="n">
        <f aca="false">Assunzioni!B20</f>
        <v>300</v>
      </c>
      <c r="I12" s="22" t="n">
        <f aca="false">Assunzioni!B20</f>
        <v>300</v>
      </c>
      <c r="J12" s="22" t="n">
        <f aca="false">Assunzioni!B20</f>
        <v>300</v>
      </c>
      <c r="K12" s="22" t="n">
        <f aca="false">Assunzioni!B20</f>
        <v>300</v>
      </c>
      <c r="L12" s="22" t="n">
        <f aca="false">Assunzioni!B20</f>
        <v>300</v>
      </c>
      <c r="M12" s="22" t="n">
        <f aca="false">Assunzioni!B20</f>
        <v>300</v>
      </c>
      <c r="N12" s="22" t="n">
        <f aca="false">SUM(B12:M12)</f>
        <v>3600</v>
      </c>
    </row>
    <row r="13" customFormat="false" ht="15" hidden="false" customHeight="false" outlineLevel="0" collapsed="false">
      <c r="A13" s="10" t="s">
        <v>38</v>
      </c>
      <c r="B13" s="22" t="n">
        <f aca="false">Assunzioni!B21</f>
        <v>1500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f aca="false">SUM(B13:M13)</f>
        <v>1500</v>
      </c>
    </row>
    <row r="14" customFormat="false" ht="15" hidden="false" customHeight="false" outlineLevel="0" collapsed="false">
      <c r="A14" s="8" t="s">
        <v>63</v>
      </c>
      <c r="B14" s="9" t="n">
        <f aca="false">B11+B12+B13</f>
        <v>1950</v>
      </c>
      <c r="C14" s="9" t="n">
        <f aca="false">C11+C12+C13</f>
        <v>450</v>
      </c>
      <c r="D14" s="9" t="n">
        <f aca="false">D11+D12+D13</f>
        <v>450</v>
      </c>
      <c r="E14" s="9" t="n">
        <f aca="false">E11+E12+E13</f>
        <v>450</v>
      </c>
      <c r="F14" s="9" t="n">
        <f aca="false">F11+F12+F13</f>
        <v>450</v>
      </c>
      <c r="G14" s="9" t="n">
        <f aca="false">G11+G12+G13</f>
        <v>450</v>
      </c>
      <c r="H14" s="9" t="n">
        <f aca="false">H11+H12+H13</f>
        <v>450</v>
      </c>
      <c r="I14" s="9" t="n">
        <f aca="false">I11+I12+I13</f>
        <v>450</v>
      </c>
      <c r="J14" s="9" t="n">
        <f aca="false">J11+J12+J13</f>
        <v>450</v>
      </c>
      <c r="K14" s="9" t="n">
        <f aca="false">K11+K12+K13</f>
        <v>450</v>
      </c>
      <c r="L14" s="9" t="n">
        <f aca="false">L11+L12+L13</f>
        <v>450</v>
      </c>
      <c r="M14" s="9" t="n">
        <f aca="false">M11+M12+M13</f>
        <v>450</v>
      </c>
      <c r="N14" s="9" t="n">
        <f aca="false">SUM(B14:M14)</f>
        <v>6900</v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customFormat="false" ht="15" hidden="false" customHeight="false" outlineLevel="0" collapsed="false">
      <c r="A16" s="20" t="s">
        <v>64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customFormat="false" ht="15" hidden="false" customHeight="false" outlineLevel="0" collapsed="false">
      <c r="A17" s="8" t="s">
        <v>65</v>
      </c>
      <c r="B17" s="23" t="n">
        <f aca="false">B8-B14</f>
        <v>3653.2</v>
      </c>
      <c r="C17" s="23" t="n">
        <f aca="false">C8-C14</f>
        <v>7954.8</v>
      </c>
      <c r="D17" s="23" t="n">
        <f aca="false">D8-D14</f>
        <v>10056</v>
      </c>
      <c r="E17" s="23" t="n">
        <f aca="false">E8-E14</f>
        <v>12157.2</v>
      </c>
      <c r="F17" s="23" t="n">
        <f aca="false">F8-F14</f>
        <v>14258.4</v>
      </c>
      <c r="G17" s="23" t="n">
        <f aca="false">G8-G14</f>
        <v>16359.6</v>
      </c>
      <c r="H17" s="23" t="n">
        <f aca="false">H8-H14</f>
        <v>18460.8</v>
      </c>
      <c r="I17" s="23" t="n">
        <f aca="false">I8-I14</f>
        <v>20562</v>
      </c>
      <c r="J17" s="23" t="n">
        <f aca="false">J8-J14</f>
        <v>21962.8</v>
      </c>
      <c r="K17" s="23" t="n">
        <f aca="false">K8-K14</f>
        <v>23363.6</v>
      </c>
      <c r="L17" s="23" t="n">
        <f aca="false">L8-L14</f>
        <v>24764.4</v>
      </c>
      <c r="M17" s="23" t="n">
        <f aca="false">M8-M14</f>
        <v>26165.2</v>
      </c>
      <c r="N17" s="23" t="n">
        <f aca="false">SUM(B17:M17)</f>
        <v>199718</v>
      </c>
    </row>
    <row r="18" customFormat="false" ht="15" hidden="false" customHeight="false" outlineLevel="0" collapsed="false">
      <c r="A18" s="19" t="s">
        <v>66</v>
      </c>
      <c r="B18" s="24" t="n">
        <f aca="false">B17</f>
        <v>3653.2</v>
      </c>
      <c r="C18" s="24" t="n">
        <f aca="false">B18+C17</f>
        <v>11608</v>
      </c>
      <c r="D18" s="24" t="n">
        <f aca="false">C18+D17</f>
        <v>21664</v>
      </c>
      <c r="E18" s="24" t="n">
        <f aca="false">D18+E17</f>
        <v>33821.2</v>
      </c>
      <c r="F18" s="24" t="n">
        <f aca="false">E18+F17</f>
        <v>48079.6</v>
      </c>
      <c r="G18" s="24" t="n">
        <f aca="false">F18+G17</f>
        <v>64439.2</v>
      </c>
      <c r="H18" s="24" t="n">
        <f aca="false">G18+H17</f>
        <v>82900</v>
      </c>
      <c r="I18" s="24" t="n">
        <f aca="false">H18+I17</f>
        <v>103462</v>
      </c>
      <c r="J18" s="24" t="n">
        <f aca="false">I18+J17</f>
        <v>125424.8</v>
      </c>
      <c r="K18" s="24" t="n">
        <f aca="false">J18+K17</f>
        <v>148788.4</v>
      </c>
      <c r="L18" s="24" t="n">
        <f aca="false">K18+L17</f>
        <v>173552.8</v>
      </c>
      <c r="M18" s="24" t="n">
        <f aca="false">L18+M17</f>
        <v>199718</v>
      </c>
      <c r="N18" s="23" t="n">
        <f aca="false">M18</f>
        <v>199718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6.15" hidden="false" customHeight="false" outlineLevel="0" collapsed="false">
      <c r="A1" s="25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customFormat="false" ht="15" hidden="false" customHeight="false" outlineLevel="0" collapsed="false">
      <c r="A2" s="10"/>
      <c r="B2" s="17" t="s">
        <v>42</v>
      </c>
      <c r="C2" s="17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 t="s">
        <v>53</v>
      </c>
      <c r="N2" s="11" t="s">
        <v>54</v>
      </c>
    </row>
    <row r="3" customFormat="false" ht="15" hidden="false" customHeight="false" outlineLevel="0" collapsed="false">
      <c r="A3" s="8" t="s">
        <v>55</v>
      </c>
      <c r="B3" s="26" t="n">
        <f aca="false">Assunzioni!B13</f>
        <v>15</v>
      </c>
      <c r="C3" s="26" t="n">
        <f aca="false">Assunzioni!B14</f>
        <v>8</v>
      </c>
      <c r="D3" s="26" t="n">
        <f aca="false">Assunzioni!B14</f>
        <v>8</v>
      </c>
      <c r="E3" s="26" t="n">
        <f aca="false">Assunzioni!B15</f>
        <v>5</v>
      </c>
      <c r="F3" s="26" t="n">
        <f aca="false">Assunzioni!B15</f>
        <v>5</v>
      </c>
      <c r="G3" s="26" t="n">
        <f aca="false">Assunzioni!B15</f>
        <v>5</v>
      </c>
      <c r="H3" s="26" t="n">
        <f aca="false">Assunzioni!B15</f>
        <v>5</v>
      </c>
      <c r="I3" s="26" t="n">
        <f aca="false">Assunzioni!B15</f>
        <v>5</v>
      </c>
      <c r="J3" s="26" t="n">
        <f aca="false">Assunzioni!B15</f>
        <v>5</v>
      </c>
      <c r="K3" s="26" t="n">
        <f aca="false">Assunzioni!B15</f>
        <v>5</v>
      </c>
      <c r="L3" s="26" t="n">
        <f aca="false">Assunzioni!B15</f>
        <v>5</v>
      </c>
      <c r="M3" s="26" t="n">
        <f aca="false">Assunzioni!B15</f>
        <v>5</v>
      </c>
      <c r="N3" s="8" t="n">
        <f aca="false">SUM(B3:M3)</f>
        <v>76</v>
      </c>
    </row>
    <row r="4" customFormat="false" ht="15" hidden="false" customHeight="false" outlineLevel="0" collapsed="false">
      <c r="A4" s="27" t="s">
        <v>68</v>
      </c>
      <c r="B4" s="28" t="n">
        <f aca="false">B5</f>
        <v>15</v>
      </c>
      <c r="C4" s="10" t="n">
        <f aca="false">C5</f>
        <v>23</v>
      </c>
      <c r="D4" s="10" t="n">
        <f aca="false">D5</f>
        <v>31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f aca="false">SUM(B4:M4)</f>
        <v>69</v>
      </c>
    </row>
    <row r="5" customFormat="false" ht="15" hidden="false" customHeight="false" outlineLevel="0" collapsed="false">
      <c r="A5" s="19" t="s">
        <v>69</v>
      </c>
      <c r="B5" s="28" t="n">
        <f aca="false">B3</f>
        <v>15</v>
      </c>
      <c r="C5" s="10" t="n">
        <f aca="false">B5+C3</f>
        <v>23</v>
      </c>
      <c r="D5" s="10" t="n">
        <f aca="false">C5+D3</f>
        <v>31</v>
      </c>
      <c r="E5" s="10" t="n">
        <f aca="false">ROUND(D5*Assunzioni!B16,0)+E3</f>
        <v>13</v>
      </c>
      <c r="F5" s="10" t="n">
        <f aca="false">E5+F3-ROUND(E5*Assunzioni!B17,0)</f>
        <v>17</v>
      </c>
      <c r="G5" s="10" t="n">
        <f aca="false">F5+G3-ROUND(F5*Assunzioni!B17,0)</f>
        <v>21</v>
      </c>
      <c r="H5" s="10" t="n">
        <f aca="false">G5+H3-ROUND(G5*Assunzioni!B17,0)</f>
        <v>25</v>
      </c>
      <c r="I5" s="10" t="n">
        <f aca="false">H5+I3-ROUND(H5*Assunzioni!B17,0)</f>
        <v>29</v>
      </c>
      <c r="J5" s="10" t="n">
        <f aca="false">I5+J3-ROUND(I5*Assunzioni!B17,0)</f>
        <v>33</v>
      </c>
      <c r="K5" s="10" t="n">
        <f aca="false">J5+K3-ROUND(J5*Assunzioni!B17,0)</f>
        <v>36</v>
      </c>
      <c r="L5" s="10" t="n">
        <f aca="false">K5+L3-ROUND(K5*Assunzioni!B17,0)</f>
        <v>39</v>
      </c>
      <c r="M5" s="10" t="n">
        <f aca="false">L5+M3-ROUND(L5*Assunzioni!B17,0)</f>
        <v>42</v>
      </c>
      <c r="N5" s="10" t="n">
        <f aca="false">M5</f>
        <v>42</v>
      </c>
    </row>
    <row r="6" customFormat="false" ht="15" hidden="false" customHeight="false" outlineLevel="0" collapsed="false">
      <c r="A6" s="29" t="s">
        <v>70</v>
      </c>
      <c r="B6" s="10" t="n">
        <v>0</v>
      </c>
      <c r="C6" s="10" t="n">
        <v>0</v>
      </c>
      <c r="D6" s="10" t="n">
        <v>0</v>
      </c>
      <c r="E6" s="10" t="n">
        <f aca="false">E5</f>
        <v>13</v>
      </c>
      <c r="F6" s="10" t="n">
        <f aca="false">F5</f>
        <v>17</v>
      </c>
      <c r="G6" s="10" t="n">
        <f aca="false">G5</f>
        <v>21</v>
      </c>
      <c r="H6" s="10" t="n">
        <f aca="false">H5</f>
        <v>25</v>
      </c>
      <c r="I6" s="10" t="n">
        <f aca="false">I5</f>
        <v>29</v>
      </c>
      <c r="J6" s="10" t="n">
        <f aca="false">J5</f>
        <v>33</v>
      </c>
      <c r="K6" s="10" t="n">
        <f aca="false">K5</f>
        <v>36</v>
      </c>
      <c r="L6" s="10" t="n">
        <f aca="false">L5</f>
        <v>39</v>
      </c>
      <c r="M6" s="10" t="n">
        <f aca="false">M5</f>
        <v>42</v>
      </c>
      <c r="N6" s="10" t="n">
        <f aca="false">M6</f>
        <v>42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customFormat="false" ht="15" hidden="false" customHeight="false" outlineLevel="0" collapsed="false">
      <c r="A8" s="20" t="s">
        <v>58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customFormat="false" ht="15" hidden="false" customHeight="false" outlineLevel="0" collapsed="false">
      <c r="A9" s="10" t="s">
        <v>71</v>
      </c>
      <c r="B9" s="22" t="n">
        <f aca="false">B6*Assunzioni!B9*(1-Assunzioni!B18)</f>
        <v>0</v>
      </c>
      <c r="C9" s="22" t="n">
        <f aca="false">C6*Assunzioni!B9*(1-Assunzioni!B18)</f>
        <v>0</v>
      </c>
      <c r="D9" s="22" t="n">
        <f aca="false">D6*Assunzioni!B9*(1-Assunzioni!B18)</f>
        <v>0</v>
      </c>
      <c r="E9" s="22" t="n">
        <f aca="false">E6*Assunzioni!B9*(1-Assunzioni!B18)</f>
        <v>7284.16</v>
      </c>
      <c r="F9" s="22" t="n">
        <f aca="false">F6*Assunzioni!B9*(1-Assunzioni!B18)</f>
        <v>9525.44</v>
      </c>
      <c r="G9" s="22" t="n">
        <f aca="false">G6*Assunzioni!B9*(1-Assunzioni!B18)</f>
        <v>11766.72</v>
      </c>
      <c r="H9" s="22" t="n">
        <f aca="false">H6*Assunzioni!B9*(1-Assunzioni!B18)</f>
        <v>14008</v>
      </c>
      <c r="I9" s="22" t="n">
        <f aca="false">I6*Assunzioni!B9*(1-Assunzioni!B18)</f>
        <v>16249.28</v>
      </c>
      <c r="J9" s="22" t="n">
        <f aca="false">J6*Assunzioni!B9*(1-Assunzioni!B18)</f>
        <v>18490.56</v>
      </c>
      <c r="K9" s="22" t="n">
        <f aca="false">K6*Assunzioni!B9*(1-Assunzioni!B18)</f>
        <v>20171.52</v>
      </c>
      <c r="L9" s="22" t="n">
        <f aca="false">L6*Assunzioni!B9*(1-Assunzioni!B18)</f>
        <v>21852.48</v>
      </c>
      <c r="M9" s="22" t="n">
        <f aca="false">M6*Assunzioni!B9*(1-Assunzioni!B18)</f>
        <v>23533.44</v>
      </c>
      <c r="N9" s="9" t="n">
        <f aca="false">SUM(B9:M9)</f>
        <v>142881.6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false" outlineLevel="0" collapsed="false">
      <c r="A11" s="20" t="s">
        <v>60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customFormat="false" ht="15" hidden="false" customHeight="false" outlineLevel="0" collapsed="false">
      <c r="A12" s="10" t="s">
        <v>61</v>
      </c>
      <c r="B12" s="22" t="n">
        <f aca="false">Assunzioni!B19</f>
        <v>150</v>
      </c>
      <c r="C12" s="22" t="n">
        <f aca="false">Assunzioni!B19</f>
        <v>150</v>
      </c>
      <c r="D12" s="22" t="n">
        <f aca="false">Assunzioni!B19</f>
        <v>150</v>
      </c>
      <c r="E12" s="22" t="n">
        <f aca="false">Assunzioni!B19</f>
        <v>150</v>
      </c>
      <c r="F12" s="22" t="n">
        <f aca="false">Assunzioni!B19</f>
        <v>150</v>
      </c>
      <c r="G12" s="22" t="n">
        <f aca="false">Assunzioni!B19</f>
        <v>150</v>
      </c>
      <c r="H12" s="22" t="n">
        <f aca="false">Assunzioni!B19</f>
        <v>150</v>
      </c>
      <c r="I12" s="22" t="n">
        <f aca="false">Assunzioni!B19</f>
        <v>150</v>
      </c>
      <c r="J12" s="22" t="n">
        <f aca="false">Assunzioni!B19</f>
        <v>150</v>
      </c>
      <c r="K12" s="22" t="n">
        <f aca="false">Assunzioni!B19</f>
        <v>150</v>
      </c>
      <c r="L12" s="22" t="n">
        <f aca="false">Assunzioni!B19</f>
        <v>150</v>
      </c>
      <c r="M12" s="22" t="n">
        <f aca="false">Assunzioni!B19</f>
        <v>150</v>
      </c>
      <c r="N12" s="22" t="n">
        <f aca="false">SUM(B12:M12)</f>
        <v>1800</v>
      </c>
    </row>
    <row r="13" customFormat="false" ht="15" hidden="false" customHeight="false" outlineLevel="0" collapsed="false">
      <c r="A13" s="10" t="s">
        <v>62</v>
      </c>
      <c r="B13" s="22" t="n">
        <f aca="false">Assunzioni!B20</f>
        <v>300</v>
      </c>
      <c r="C13" s="22" t="n">
        <f aca="false">Assunzioni!B20</f>
        <v>300</v>
      </c>
      <c r="D13" s="22" t="n">
        <f aca="false">Assunzioni!B20</f>
        <v>300</v>
      </c>
      <c r="E13" s="22" t="n">
        <f aca="false">Assunzioni!B20</f>
        <v>300</v>
      </c>
      <c r="F13" s="22" t="n">
        <f aca="false">Assunzioni!B20</f>
        <v>300</v>
      </c>
      <c r="G13" s="22" t="n">
        <f aca="false">Assunzioni!B20</f>
        <v>300</v>
      </c>
      <c r="H13" s="22" t="n">
        <f aca="false">Assunzioni!B20</f>
        <v>300</v>
      </c>
      <c r="I13" s="22" t="n">
        <f aca="false">Assunzioni!B20</f>
        <v>300</v>
      </c>
      <c r="J13" s="22" t="n">
        <f aca="false">Assunzioni!B20</f>
        <v>300</v>
      </c>
      <c r="K13" s="22" t="n">
        <f aca="false">Assunzioni!B20</f>
        <v>300</v>
      </c>
      <c r="L13" s="22" t="n">
        <f aca="false">Assunzioni!B20</f>
        <v>300</v>
      </c>
      <c r="M13" s="22" t="n">
        <f aca="false">Assunzioni!B20</f>
        <v>300</v>
      </c>
      <c r="N13" s="22" t="n">
        <f aca="false">SUM(B13:M13)</f>
        <v>3600</v>
      </c>
    </row>
    <row r="14" customFormat="false" ht="15" hidden="false" customHeight="false" outlineLevel="0" collapsed="false">
      <c r="A14" s="10" t="s">
        <v>38</v>
      </c>
      <c r="B14" s="22" t="n">
        <f aca="false">Assunzioni!B21</f>
        <v>1500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f aca="false">SUM(B14:M14)</f>
        <v>1500</v>
      </c>
    </row>
    <row r="15" customFormat="false" ht="15" hidden="false" customHeight="false" outlineLevel="0" collapsed="false">
      <c r="A15" s="8" t="s">
        <v>63</v>
      </c>
      <c r="B15" s="9" t="n">
        <f aca="false">B12+B13+B14</f>
        <v>1950</v>
      </c>
      <c r="C15" s="9" t="n">
        <f aca="false">C12+C13+C14</f>
        <v>450</v>
      </c>
      <c r="D15" s="9" t="n">
        <f aca="false">D12+D13+D14</f>
        <v>450</v>
      </c>
      <c r="E15" s="9" t="n">
        <f aca="false">E12+E13+E14</f>
        <v>450</v>
      </c>
      <c r="F15" s="9" t="n">
        <f aca="false">F12+F13+F14</f>
        <v>450</v>
      </c>
      <c r="G15" s="9" t="n">
        <f aca="false">G12+G13+G14</f>
        <v>450</v>
      </c>
      <c r="H15" s="9" t="n">
        <f aca="false">H12+H13+H14</f>
        <v>450</v>
      </c>
      <c r="I15" s="9" t="n">
        <f aca="false">I12+I13+I14</f>
        <v>450</v>
      </c>
      <c r="J15" s="9" t="n">
        <f aca="false">J12+J13+J14</f>
        <v>450</v>
      </c>
      <c r="K15" s="9" t="n">
        <f aca="false">K12+K13+K14</f>
        <v>450</v>
      </c>
      <c r="L15" s="9" t="n">
        <f aca="false">L12+L13+L14</f>
        <v>450</v>
      </c>
      <c r="M15" s="9" t="n">
        <f aca="false">M12+M13+M14</f>
        <v>450</v>
      </c>
      <c r="N15" s="9" t="n">
        <f aca="false">SUM(B15:M15)</f>
        <v>6900</v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5" hidden="false" customHeight="false" outlineLevel="0" collapsed="false">
      <c r="A17" s="20" t="s">
        <v>64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customFormat="false" ht="15" hidden="false" customHeight="false" outlineLevel="0" collapsed="false">
      <c r="A18" s="8" t="s">
        <v>65</v>
      </c>
      <c r="B18" s="23" t="n">
        <f aca="false">B9-B15</f>
        <v>-1950</v>
      </c>
      <c r="C18" s="23" t="n">
        <f aca="false">C9-C15</f>
        <v>-450</v>
      </c>
      <c r="D18" s="23" t="n">
        <f aca="false">D9-D15</f>
        <v>-450</v>
      </c>
      <c r="E18" s="23" t="n">
        <f aca="false">E9-E15</f>
        <v>6834.16</v>
      </c>
      <c r="F18" s="23" t="n">
        <f aca="false">F9-F15</f>
        <v>9075.44</v>
      </c>
      <c r="G18" s="23" t="n">
        <f aca="false">G9-G15</f>
        <v>11316.72</v>
      </c>
      <c r="H18" s="23" t="n">
        <f aca="false">H9-H15</f>
        <v>13558</v>
      </c>
      <c r="I18" s="23" t="n">
        <f aca="false">I9-I15</f>
        <v>15799.28</v>
      </c>
      <c r="J18" s="23" t="n">
        <f aca="false">J9-J15</f>
        <v>18040.56</v>
      </c>
      <c r="K18" s="23" t="n">
        <f aca="false">K9-K15</f>
        <v>19721.52</v>
      </c>
      <c r="L18" s="23" t="n">
        <f aca="false">L9-L15</f>
        <v>21402.48</v>
      </c>
      <c r="M18" s="23" t="n">
        <f aca="false">M9-M15</f>
        <v>23083.44</v>
      </c>
      <c r="N18" s="23" t="n">
        <f aca="false">SUM(B18:M18)</f>
        <v>135981.6</v>
      </c>
    </row>
    <row r="19" customFormat="false" ht="15" hidden="false" customHeight="false" outlineLevel="0" collapsed="false">
      <c r="A19" s="19" t="s">
        <v>66</v>
      </c>
      <c r="B19" s="24" t="n">
        <f aca="false">B18</f>
        <v>-1950</v>
      </c>
      <c r="C19" s="24" t="n">
        <f aca="false">B19+C18</f>
        <v>-2400</v>
      </c>
      <c r="D19" s="24" t="n">
        <f aca="false">C19+D18</f>
        <v>-2850</v>
      </c>
      <c r="E19" s="24" t="n">
        <f aca="false">D19+E18</f>
        <v>3984.16</v>
      </c>
      <c r="F19" s="24" t="n">
        <f aca="false">E19+F18</f>
        <v>13059.6</v>
      </c>
      <c r="G19" s="24" t="n">
        <f aca="false">F19+G18</f>
        <v>24376.32</v>
      </c>
      <c r="H19" s="24" t="n">
        <f aca="false">G19+H18</f>
        <v>37934.32</v>
      </c>
      <c r="I19" s="24" t="n">
        <f aca="false">H19+I18</f>
        <v>53733.6</v>
      </c>
      <c r="J19" s="24" t="n">
        <f aca="false">I19+J18</f>
        <v>71774.16</v>
      </c>
      <c r="K19" s="24" t="n">
        <f aca="false">J19+K18</f>
        <v>91495.68</v>
      </c>
      <c r="L19" s="24" t="n">
        <f aca="false">K19+L18</f>
        <v>112898.16</v>
      </c>
      <c r="M19" s="24" t="n">
        <f aca="false">L19+M18</f>
        <v>135981.6</v>
      </c>
      <c r="N19" s="23" t="n">
        <f aca="false">M19</f>
        <v>135981.6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30" t="s">
        <v>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customFormat="false" ht="15" hidden="false" customHeight="false" outlineLevel="0" collapsed="false">
      <c r="A2" s="10"/>
      <c r="B2" s="17" t="s">
        <v>42</v>
      </c>
      <c r="C2" s="17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 t="s">
        <v>53</v>
      </c>
      <c r="N2" s="11" t="s">
        <v>54</v>
      </c>
    </row>
    <row r="3" customFormat="false" ht="15" hidden="false" customHeight="false" outlineLevel="0" collapsed="false">
      <c r="A3" s="8" t="s">
        <v>55</v>
      </c>
      <c r="B3" s="28" t="n">
        <f aca="false">Assunzioni!B13</f>
        <v>15</v>
      </c>
      <c r="C3" s="28" t="n">
        <f aca="false">Assunzioni!B14</f>
        <v>8</v>
      </c>
      <c r="D3" s="28" t="n">
        <f aca="false">Assunzioni!B14</f>
        <v>8</v>
      </c>
      <c r="E3" s="28" t="n">
        <f aca="false">Assunzioni!B15</f>
        <v>5</v>
      </c>
      <c r="F3" s="28" t="n">
        <f aca="false">Assunzioni!B15</f>
        <v>5</v>
      </c>
      <c r="G3" s="28" t="n">
        <f aca="false">Assunzioni!B15</f>
        <v>5</v>
      </c>
      <c r="H3" s="28" t="n">
        <f aca="false">Assunzioni!B15</f>
        <v>5</v>
      </c>
      <c r="I3" s="28" t="n">
        <f aca="false">Assunzioni!B15</f>
        <v>5</v>
      </c>
      <c r="J3" s="28" t="n">
        <f aca="false">Assunzioni!B15</f>
        <v>5</v>
      </c>
      <c r="K3" s="28" t="n">
        <f aca="false">Assunzioni!B15</f>
        <v>5</v>
      </c>
      <c r="L3" s="28" t="n">
        <f aca="false">Assunzioni!B15</f>
        <v>5</v>
      </c>
      <c r="M3" s="28" t="n">
        <f aca="false">Assunzioni!B15</f>
        <v>5</v>
      </c>
      <c r="N3" s="10" t="n">
        <f aca="false">SUM(B3:M3)</f>
        <v>76</v>
      </c>
    </row>
    <row r="4" customFormat="false" ht="15" hidden="false" customHeight="false" outlineLevel="0" collapsed="false">
      <c r="A4" s="27" t="s">
        <v>68</v>
      </c>
      <c r="B4" s="28" t="n">
        <f aca="false">B5</f>
        <v>15</v>
      </c>
      <c r="C4" s="10" t="n">
        <f aca="false">C5</f>
        <v>23</v>
      </c>
      <c r="D4" s="10" t="n">
        <f aca="false">D5</f>
        <v>31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f aca="false">SUM(B4:M4)</f>
        <v>69</v>
      </c>
    </row>
    <row r="5" customFormat="false" ht="15" hidden="false" customHeight="false" outlineLevel="0" collapsed="false">
      <c r="A5" s="19" t="s">
        <v>69</v>
      </c>
      <c r="B5" s="28" t="n">
        <f aca="false">B3</f>
        <v>15</v>
      </c>
      <c r="C5" s="10" t="n">
        <f aca="false">B5+C3</f>
        <v>23</v>
      </c>
      <c r="D5" s="10" t="n">
        <f aca="false">C5+D3</f>
        <v>31</v>
      </c>
      <c r="E5" s="10" t="n">
        <f aca="false">ROUND(D5*0.3,0)+E3</f>
        <v>14</v>
      </c>
      <c r="F5" s="10" t="n">
        <f aca="false">E5+F3-ROUND(E5*Assunzioni!B17,0)</f>
        <v>18</v>
      </c>
      <c r="G5" s="10" t="n">
        <f aca="false">F5+G3-ROUND(F5*Assunzioni!B17,0)</f>
        <v>22</v>
      </c>
      <c r="H5" s="10" t="n">
        <f aca="false">G5+H3-ROUND(G5*Assunzioni!B17,0)</f>
        <v>26</v>
      </c>
      <c r="I5" s="10" t="n">
        <f aca="false">H5+I3-ROUND(H5*Assunzioni!B17,0)</f>
        <v>30</v>
      </c>
      <c r="J5" s="10" t="n">
        <f aca="false">I5+J3-ROUND(I5*Assunzioni!B17,0)</f>
        <v>33</v>
      </c>
      <c r="K5" s="10" t="n">
        <f aca="false">J5+K3-ROUND(J5*Assunzioni!B17,0)</f>
        <v>36</v>
      </c>
      <c r="L5" s="10" t="n">
        <f aca="false">K5+L3-ROUND(K5*Assunzioni!B17,0)</f>
        <v>39</v>
      </c>
      <c r="M5" s="10" t="n">
        <f aca="false">L5+M3-ROUND(L5*Assunzioni!B17,0)</f>
        <v>42</v>
      </c>
      <c r="N5" s="10" t="n">
        <f aca="false">M5</f>
        <v>42</v>
      </c>
    </row>
    <row r="6" customFormat="false" ht="15" hidden="false" customHeight="false" outlineLevel="0" collapsed="false">
      <c r="A6" s="29" t="s">
        <v>73</v>
      </c>
      <c r="B6" s="10" t="n">
        <v>0</v>
      </c>
      <c r="C6" s="10" t="n">
        <v>0</v>
      </c>
      <c r="D6" s="10" t="n">
        <v>0</v>
      </c>
      <c r="E6" s="10" t="n">
        <f aca="false">E5</f>
        <v>14</v>
      </c>
      <c r="F6" s="10" t="n">
        <f aca="false">F5</f>
        <v>18</v>
      </c>
      <c r="G6" s="10" t="n">
        <f aca="false">G5</f>
        <v>22</v>
      </c>
      <c r="H6" s="10" t="n">
        <f aca="false">H5</f>
        <v>26</v>
      </c>
      <c r="I6" s="10" t="n">
        <f aca="false">I5</f>
        <v>30</v>
      </c>
      <c r="J6" s="10" t="n">
        <f aca="false">J5</f>
        <v>33</v>
      </c>
      <c r="K6" s="10" t="n">
        <f aca="false">K5</f>
        <v>36</v>
      </c>
      <c r="L6" s="10" t="n">
        <f aca="false">L5</f>
        <v>39</v>
      </c>
      <c r="M6" s="10" t="n">
        <f aca="false">M5</f>
        <v>42</v>
      </c>
      <c r="N6" s="10" t="n">
        <f aca="false">M6</f>
        <v>42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customFormat="false" ht="15" hidden="false" customHeight="false" outlineLevel="0" collapsed="false">
      <c r="A8" s="31" t="s">
        <v>58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customFormat="false" ht="15" hidden="false" customHeight="false" outlineLevel="0" collapsed="false">
      <c r="A9" s="10" t="s">
        <v>74</v>
      </c>
      <c r="B9" s="22" t="n">
        <f aca="false">B6*Assunzioni!B9*0.9</f>
        <v>0</v>
      </c>
      <c r="C9" s="22" t="n">
        <f aca="false">C6*Assunzioni!B9*0.9</f>
        <v>0</v>
      </c>
      <c r="D9" s="22" t="n">
        <f aca="false">D6*Assunzioni!B9*0.9</f>
        <v>0</v>
      </c>
      <c r="E9" s="22" t="n">
        <f aca="false">E6*Assunzioni!B9*0.9</f>
        <v>8825.04</v>
      </c>
      <c r="F9" s="22" t="n">
        <f aca="false">F6*Assunzioni!B9*0.9</f>
        <v>11346.48</v>
      </c>
      <c r="G9" s="22" t="n">
        <f aca="false">G6*Assunzioni!B9*0.9</f>
        <v>13867.92</v>
      </c>
      <c r="H9" s="22" t="n">
        <f aca="false">H6*Assunzioni!B9*0.9</f>
        <v>16389.36</v>
      </c>
      <c r="I9" s="22" t="n">
        <f aca="false">I6*Assunzioni!B9*0.9</f>
        <v>18910.8</v>
      </c>
      <c r="J9" s="22" t="n">
        <f aca="false">J6*Assunzioni!B9*0.9</f>
        <v>20801.88</v>
      </c>
      <c r="K9" s="22" t="n">
        <f aca="false">K6*Assunzioni!B9*0.9</f>
        <v>22692.96</v>
      </c>
      <c r="L9" s="22" t="n">
        <f aca="false">L6*Assunzioni!B9*0.9</f>
        <v>24584.04</v>
      </c>
      <c r="M9" s="22" t="n">
        <f aca="false">M6*Assunzioni!B9*0.9</f>
        <v>26475.12</v>
      </c>
      <c r="N9" s="9" t="n">
        <f aca="false">SUM(B9:M9)</f>
        <v>163893.6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false" outlineLevel="0" collapsed="false">
      <c r="A11" s="31" t="s">
        <v>60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customFormat="false" ht="15" hidden="false" customHeight="false" outlineLevel="0" collapsed="false">
      <c r="A12" s="10" t="s">
        <v>61</v>
      </c>
      <c r="B12" s="22" t="n">
        <f aca="false">Assunzioni!B19</f>
        <v>150</v>
      </c>
      <c r="C12" s="22" t="n">
        <f aca="false">Assunzioni!B19</f>
        <v>150</v>
      </c>
      <c r="D12" s="22" t="n">
        <f aca="false">Assunzioni!B19</f>
        <v>150</v>
      </c>
      <c r="E12" s="22" t="n">
        <f aca="false">Assunzioni!B19</f>
        <v>150</v>
      </c>
      <c r="F12" s="22" t="n">
        <f aca="false">Assunzioni!B19</f>
        <v>150</v>
      </c>
      <c r="G12" s="22" t="n">
        <f aca="false">Assunzioni!B19</f>
        <v>150</v>
      </c>
      <c r="H12" s="22" t="n">
        <f aca="false">Assunzioni!B19</f>
        <v>150</v>
      </c>
      <c r="I12" s="22" t="n">
        <f aca="false">Assunzioni!B19</f>
        <v>150</v>
      </c>
      <c r="J12" s="22" t="n">
        <f aca="false">Assunzioni!B19</f>
        <v>150</v>
      </c>
      <c r="K12" s="22" t="n">
        <f aca="false">Assunzioni!B19</f>
        <v>150</v>
      </c>
      <c r="L12" s="22" t="n">
        <f aca="false">Assunzioni!B19</f>
        <v>150</v>
      </c>
      <c r="M12" s="22" t="n">
        <f aca="false">Assunzioni!B19</f>
        <v>150</v>
      </c>
      <c r="N12" s="10" t="n">
        <f aca="false">SUM(B12:M12)</f>
        <v>1800</v>
      </c>
    </row>
    <row r="13" customFormat="false" ht="15" hidden="false" customHeight="false" outlineLevel="0" collapsed="false">
      <c r="A13" s="10" t="s">
        <v>62</v>
      </c>
      <c r="B13" s="22" t="n">
        <f aca="false">Assunzioni!B20</f>
        <v>300</v>
      </c>
      <c r="C13" s="22" t="n">
        <f aca="false">Assunzioni!B20</f>
        <v>300</v>
      </c>
      <c r="D13" s="22" t="n">
        <f aca="false">Assunzioni!B20</f>
        <v>300</v>
      </c>
      <c r="E13" s="22" t="n">
        <f aca="false">Assunzioni!B20</f>
        <v>300</v>
      </c>
      <c r="F13" s="22" t="n">
        <f aca="false">Assunzioni!B20</f>
        <v>300</v>
      </c>
      <c r="G13" s="22" t="n">
        <f aca="false">Assunzioni!B20</f>
        <v>300</v>
      </c>
      <c r="H13" s="22" t="n">
        <f aca="false">Assunzioni!B20</f>
        <v>300</v>
      </c>
      <c r="I13" s="22" t="n">
        <f aca="false">Assunzioni!B20</f>
        <v>300</v>
      </c>
      <c r="J13" s="22" t="n">
        <f aca="false">Assunzioni!B20</f>
        <v>300</v>
      </c>
      <c r="K13" s="22" t="n">
        <f aca="false">Assunzioni!B20</f>
        <v>300</v>
      </c>
      <c r="L13" s="22" t="n">
        <f aca="false">Assunzioni!B20</f>
        <v>300</v>
      </c>
      <c r="M13" s="22" t="n">
        <f aca="false">Assunzioni!B20</f>
        <v>300</v>
      </c>
      <c r="N13" s="10" t="n">
        <f aca="false">SUM(B13:M13)</f>
        <v>3600</v>
      </c>
    </row>
    <row r="14" customFormat="false" ht="15" hidden="false" customHeight="false" outlineLevel="0" collapsed="false">
      <c r="A14" s="10" t="s">
        <v>38</v>
      </c>
      <c r="B14" s="22" t="n">
        <f aca="false">Assunzioni!B21</f>
        <v>1500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10" t="n">
        <f aca="false">SUM(B14:M14)</f>
        <v>1500</v>
      </c>
    </row>
    <row r="15" customFormat="false" ht="15" hidden="false" customHeight="false" outlineLevel="0" collapsed="false">
      <c r="A15" s="8" t="s">
        <v>63</v>
      </c>
      <c r="B15" s="22" t="n">
        <f aca="false">B12+B13+B14</f>
        <v>1950</v>
      </c>
      <c r="C15" s="22" t="n">
        <f aca="false">C12+C13+C14</f>
        <v>450</v>
      </c>
      <c r="D15" s="22" t="n">
        <f aca="false">D12+D13+D14</f>
        <v>450</v>
      </c>
      <c r="E15" s="22" t="n">
        <f aca="false">E12+E13+E14</f>
        <v>450</v>
      </c>
      <c r="F15" s="22" t="n">
        <f aca="false">F12+F13+F14</f>
        <v>450</v>
      </c>
      <c r="G15" s="22" t="n">
        <f aca="false">G12+G13+G14</f>
        <v>450</v>
      </c>
      <c r="H15" s="22" t="n">
        <f aca="false">H12+H13+H14</f>
        <v>450</v>
      </c>
      <c r="I15" s="22" t="n">
        <f aca="false">I12+I13+I14</f>
        <v>450</v>
      </c>
      <c r="J15" s="22" t="n">
        <f aca="false">J12+J13+J14</f>
        <v>450</v>
      </c>
      <c r="K15" s="22" t="n">
        <f aca="false">K12+K13+K14</f>
        <v>450</v>
      </c>
      <c r="L15" s="22" t="n">
        <f aca="false">L12+L13+L14</f>
        <v>450</v>
      </c>
      <c r="M15" s="22" t="n">
        <f aca="false">M12+M13+M14</f>
        <v>450</v>
      </c>
      <c r="N15" s="9" t="n">
        <f aca="false">SUM(B15:M15)</f>
        <v>6900</v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5" hidden="false" customHeight="false" outlineLevel="0" collapsed="false">
      <c r="A17" s="31" t="s">
        <v>64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customFormat="false" ht="15" hidden="false" customHeight="false" outlineLevel="0" collapsed="false">
      <c r="A18" s="8" t="s">
        <v>65</v>
      </c>
      <c r="B18" s="24" t="n">
        <f aca="false">B9-B15</f>
        <v>-1950</v>
      </c>
      <c r="C18" s="24" t="n">
        <f aca="false">C9-C15</f>
        <v>-450</v>
      </c>
      <c r="D18" s="24" t="n">
        <f aca="false">D9-D15</f>
        <v>-450</v>
      </c>
      <c r="E18" s="24" t="n">
        <f aca="false">E9-E15</f>
        <v>8375.04</v>
      </c>
      <c r="F18" s="24" t="n">
        <f aca="false">F9-F15</f>
        <v>10896.48</v>
      </c>
      <c r="G18" s="24" t="n">
        <f aca="false">G9-G15</f>
        <v>13417.92</v>
      </c>
      <c r="H18" s="24" t="n">
        <f aca="false">H9-H15</f>
        <v>15939.36</v>
      </c>
      <c r="I18" s="24" t="n">
        <f aca="false">I9-I15</f>
        <v>18460.8</v>
      </c>
      <c r="J18" s="24" t="n">
        <f aca="false">J9-J15</f>
        <v>20351.88</v>
      </c>
      <c r="K18" s="24" t="n">
        <f aca="false">K9-K15</f>
        <v>22242.96</v>
      </c>
      <c r="L18" s="24" t="n">
        <f aca="false">L9-L15</f>
        <v>24134.04</v>
      </c>
      <c r="M18" s="24" t="n">
        <f aca="false">M9-M15</f>
        <v>26025.12</v>
      </c>
      <c r="N18" s="23" t="n">
        <f aca="false">SUM(B18:M18)</f>
        <v>156993.6</v>
      </c>
    </row>
    <row r="19" customFormat="false" ht="15" hidden="false" customHeight="false" outlineLevel="0" collapsed="false">
      <c r="A19" s="19" t="s">
        <v>66</v>
      </c>
      <c r="B19" s="24" t="n">
        <f aca="false">B18</f>
        <v>-1950</v>
      </c>
      <c r="C19" s="24" t="n">
        <f aca="false">B19+C18</f>
        <v>-2400</v>
      </c>
      <c r="D19" s="24" t="n">
        <f aca="false">C19+D18</f>
        <v>-2850</v>
      </c>
      <c r="E19" s="24" t="n">
        <f aca="false">D19+E18</f>
        <v>5525.04</v>
      </c>
      <c r="F19" s="24" t="n">
        <f aca="false">E19+F18</f>
        <v>16421.52</v>
      </c>
      <c r="G19" s="24" t="n">
        <f aca="false">F19+G18</f>
        <v>29839.44</v>
      </c>
      <c r="H19" s="24" t="n">
        <f aca="false">G19+H18</f>
        <v>45778.8</v>
      </c>
      <c r="I19" s="24" t="n">
        <f aca="false">H19+I18</f>
        <v>64239.6</v>
      </c>
      <c r="J19" s="24" t="n">
        <f aca="false">I19+J18</f>
        <v>84591.48</v>
      </c>
      <c r="K19" s="24" t="n">
        <f aca="false">J19+K18</f>
        <v>106834.44</v>
      </c>
      <c r="L19" s="24" t="n">
        <f aca="false">K19+L18</f>
        <v>130968.48</v>
      </c>
      <c r="M19" s="24" t="n">
        <f aca="false">L19+M18</f>
        <v>156993.6</v>
      </c>
      <c r="N19" s="23" t="n">
        <f aca="false">M19</f>
        <v>156993.6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33" t="s">
        <v>75</v>
      </c>
      <c r="B1" s="33"/>
      <c r="C1" s="33"/>
      <c r="D1" s="33"/>
      <c r="E1" s="33"/>
    </row>
    <row r="3" customFormat="false" ht="15" hidden="false" customHeight="false" outlineLevel="0" collapsed="false">
      <c r="A3" s="17" t="s">
        <v>76</v>
      </c>
      <c r="B3" s="17" t="s">
        <v>77</v>
      </c>
      <c r="C3" s="17" t="s">
        <v>78</v>
      </c>
      <c r="D3" s="17" t="s">
        <v>79</v>
      </c>
      <c r="E3" s="17" t="s">
        <v>80</v>
      </c>
    </row>
    <row r="4" customFormat="false" ht="15" hidden="false" customHeight="false" outlineLevel="0" collapsed="false">
      <c r="A4" s="8" t="s">
        <v>81</v>
      </c>
      <c r="B4" s="28" t="n">
        <f aca="false">'A - Prezzo Pieno'!N3</f>
        <v>52</v>
      </c>
      <c r="C4" s="28" t="n">
        <f aca="false">'B - Tua Proposta'!N3</f>
        <v>76</v>
      </c>
      <c r="D4" s="28" t="n">
        <f aca="false">'C - Alternativa Consigliata'!N3</f>
        <v>76</v>
      </c>
      <c r="E4" s="28" t="n">
        <f aca="false">C4-B4</f>
        <v>24</v>
      </c>
    </row>
    <row r="5" customFormat="false" ht="15" hidden="false" customHeight="false" outlineLevel="0" collapsed="false">
      <c r="A5" s="8" t="s">
        <v>82</v>
      </c>
      <c r="B5" s="28" t="n">
        <f aca="false">'A - Prezzo Pieno'!N5</f>
        <v>38</v>
      </c>
      <c r="C5" s="28" t="n">
        <f aca="false">'B - Tua Proposta'!N5</f>
        <v>42</v>
      </c>
      <c r="D5" s="28" t="n">
        <f aca="false">'C - Alternativa Consigliata'!N5</f>
        <v>42</v>
      </c>
      <c r="E5" s="28" t="n">
        <f aca="false">C5-B5</f>
        <v>4</v>
      </c>
    </row>
    <row r="6" customFormat="false" ht="15" hidden="false" customHeight="false" outlineLevel="0" collapsed="false">
      <c r="A6" s="8" t="s">
        <v>83</v>
      </c>
      <c r="B6" s="22" t="n">
        <f aca="false">'A - Prezzo Pieno'!N8</f>
        <v>206618</v>
      </c>
      <c r="C6" s="22" t="n">
        <f aca="false">'B - Tua Proposta'!N9</f>
        <v>142881.6</v>
      </c>
      <c r="D6" s="22" t="n">
        <f aca="false">'C - Alternativa Consigliata'!N9</f>
        <v>163893.6</v>
      </c>
      <c r="E6" s="22" t="n">
        <f aca="false">C6-B6</f>
        <v>-63736.4</v>
      </c>
    </row>
    <row r="7" customFormat="false" ht="15" hidden="false" customHeight="false" outlineLevel="0" collapsed="false">
      <c r="A7" s="8" t="s">
        <v>84</v>
      </c>
      <c r="B7" s="22" t="n">
        <f aca="false">'A - Prezzo Pieno'!N14</f>
        <v>6900</v>
      </c>
      <c r="C7" s="22" t="n">
        <f aca="false">'B - Tua Proposta'!N15</f>
        <v>6900</v>
      </c>
      <c r="D7" s="22" t="n">
        <f aca="false">'C - Alternativa Consigliata'!N15</f>
        <v>6900</v>
      </c>
      <c r="E7" s="22" t="n">
        <f aca="false">C7-B7</f>
        <v>0</v>
      </c>
    </row>
    <row r="8" customFormat="false" ht="15" hidden="false" customHeight="false" outlineLevel="0" collapsed="false">
      <c r="A8" s="8" t="s">
        <v>85</v>
      </c>
      <c r="B8" s="24" t="n">
        <f aca="false">'A - Prezzo Pieno'!N17</f>
        <v>199718</v>
      </c>
      <c r="C8" s="24" t="n">
        <f aca="false">'B - Tua Proposta'!N18</f>
        <v>135981.6</v>
      </c>
      <c r="D8" s="24" t="n">
        <f aca="false">'C - Alternativa Consigliata'!N18</f>
        <v>156993.6</v>
      </c>
      <c r="E8" s="24" t="n">
        <f aca="false">C8-B8</f>
        <v>-63736.4</v>
      </c>
    </row>
    <row r="9" customFormat="false" ht="15" hidden="false" customHeight="false" outlineLevel="0" collapsed="false">
      <c r="A9" s="8" t="s">
        <v>86</v>
      </c>
      <c r="B9" s="28" t="n">
        <f aca="false">COUNTIF('A - Prezzo Pieno'!B17:M17,"&lt;0")</f>
        <v>0</v>
      </c>
      <c r="C9" s="10"/>
      <c r="D9" s="10"/>
      <c r="E9" s="10"/>
    </row>
    <row r="10" customFormat="false" ht="15" hidden="false" customHeight="false" outlineLevel="0" collapsed="false">
      <c r="A10" s="8" t="s">
        <v>87</v>
      </c>
      <c r="C10" s="28" t="n">
        <f aca="false">COUNTIF('B - Tua Proposta'!B18:M18,"&lt;0")</f>
        <v>3</v>
      </c>
    </row>
    <row r="11" customFormat="false" ht="15" hidden="false" customHeight="false" outlineLevel="0" collapsed="false">
      <c r="A11" s="8" t="s">
        <v>88</v>
      </c>
      <c r="D11" s="28" t="n">
        <f aca="false">COUNTIF('C - Alternativa Consigliata'!B18:M18,"&lt;0")</f>
        <v>3</v>
      </c>
    </row>
    <row r="13" customFormat="false" ht="15" hidden="false" customHeight="false" outlineLevel="0" collapsed="false">
      <c r="A13" s="34" t="s">
        <v>89</v>
      </c>
      <c r="B13" s="34"/>
      <c r="C13" s="34"/>
      <c r="D13" s="34"/>
      <c r="E13" s="34"/>
    </row>
    <row r="14" customFormat="false" ht="15" hidden="false" customHeight="true" outlineLevel="0" collapsed="false">
      <c r="A14" s="35" t="s">
        <v>90</v>
      </c>
      <c r="B14" s="35"/>
      <c r="C14" s="35"/>
      <c r="D14" s="35"/>
      <c r="E14" s="35"/>
    </row>
    <row r="15" customFormat="false" ht="15" hidden="false" customHeight="true" outlineLevel="0" collapsed="false">
      <c r="A15" s="36" t="s">
        <v>91</v>
      </c>
      <c r="B15" s="36"/>
      <c r="C15" s="36"/>
      <c r="D15" s="36"/>
      <c r="E15" s="36"/>
    </row>
    <row r="16" customFormat="false" ht="15" hidden="false" customHeight="true" outlineLevel="0" collapsed="false">
      <c r="A16" s="36" t="s">
        <v>92</v>
      </c>
      <c r="B16" s="36"/>
      <c r="C16" s="36"/>
      <c r="D16" s="36"/>
      <c r="E16" s="36"/>
    </row>
    <row r="17" customFormat="false" ht="15" hidden="false" customHeight="true" outlineLevel="0" collapsed="false">
      <c r="A17" s="36" t="s">
        <v>93</v>
      </c>
      <c r="B17" s="36"/>
      <c r="C17" s="36"/>
      <c r="D17" s="36"/>
      <c r="E17" s="36"/>
    </row>
    <row r="18" customFormat="false" ht="15" hidden="false" customHeight="true" outlineLevel="0" collapsed="false">
      <c r="A18" s="36" t="s">
        <v>94</v>
      </c>
      <c r="B18" s="36"/>
      <c r="C18" s="36"/>
      <c r="D18" s="36"/>
      <c r="E18" s="36"/>
    </row>
    <row r="19" customFormat="false" ht="15" hidden="false" customHeight="true" outlineLevel="0" collapsed="false">
      <c r="A19" s="36" t="s">
        <v>95</v>
      </c>
      <c r="B19" s="36"/>
      <c r="C19" s="36"/>
      <c r="D19" s="36"/>
      <c r="E19" s="36"/>
    </row>
  </sheetData>
  <mergeCells count="8">
    <mergeCell ref="A1:E1"/>
    <mergeCell ref="A13:E13"/>
    <mergeCell ref="A14:E14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2026-04-03T20:11:48Z</dcterms:created>
  <dc:creator>openpyxl</dc:creator>
  <dc:description/>
  <dc:language>en-US</dc:language>
  <cp:lastModifiedBy/>
  <dcterms:modified xsi:type="dcterms:W3CDTF">2026-04-03T20:11:48Z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