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iano Investimenti 24 Mesi" sheetId="1" state="visible" r:id="rId3"/>
    <sheet name="Riepilogo Agevolazione" sheetId="2" state="visible" r:id="rId4"/>
    <sheet name="Simulazione Rimbors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<sst xmlns="http://schemas.openxmlformats.org/spreadsheetml/2006/main" count="108" uniqueCount="108">
  <si>
    <t xml:space="preserve">PRIVATIO — Piano Finanziario Investimenti 24 Mesi</t>
  </si>
  <si>
    <t xml:space="preserve">Business Plan per domanda ON — Oltre Nuove Imprese a Tasso Zero</t>
  </si>
  <si>
    <t xml:space="preserve">Voce di Costo</t>
  </si>
  <si>
    <t xml:space="preserve">Mese 1</t>
  </si>
  <si>
    <t xml:space="preserve">Mese 2</t>
  </si>
  <si>
    <t xml:space="preserve">Mese 3</t>
  </si>
  <si>
    <t xml:space="preserve">Mese 4</t>
  </si>
  <si>
    <t xml:space="preserve">Mese 5</t>
  </si>
  <si>
    <t xml:space="preserve">Mese 6</t>
  </si>
  <si>
    <t xml:space="preserve">Mese 7</t>
  </si>
  <si>
    <t xml:space="preserve">Mese 8</t>
  </si>
  <si>
    <t xml:space="preserve">Mese 9</t>
  </si>
  <si>
    <t xml:space="preserve">Mese 10</t>
  </si>
  <si>
    <t xml:space="preserve">Mese 11</t>
  </si>
  <si>
    <t xml:space="preserve">Mese 12</t>
  </si>
  <si>
    <t xml:space="preserve">Mese 13</t>
  </si>
  <si>
    <t xml:space="preserve">Mese 14</t>
  </si>
  <si>
    <t xml:space="preserve">Mese 15</t>
  </si>
  <si>
    <t xml:space="preserve">Mese 16</t>
  </si>
  <si>
    <t xml:space="preserve">Mese 17</t>
  </si>
  <si>
    <t xml:space="preserve">Mese 18</t>
  </si>
  <si>
    <t xml:space="preserve">Mese 19</t>
  </si>
  <si>
    <t xml:space="preserve">Mese 20</t>
  </si>
  <si>
    <t xml:space="preserve">Mese 21</t>
  </si>
  <si>
    <t xml:space="preserve">Mese 22</t>
  </si>
  <si>
    <t xml:space="preserve">Mese 23</t>
  </si>
  <si>
    <t xml:space="preserve">Mese 24</t>
  </si>
  <si>
    <t xml:space="preserve">TOT Anno 1</t>
  </si>
  <si>
    <t xml:space="preserve">TOT Anno 2</t>
  </si>
  <si>
    <t xml:space="preserve">PERSONALE &amp; COLLABORATORI</t>
  </si>
  <si>
    <t xml:space="preserve">Compenso Amministratore (Federico)</t>
  </si>
  <si>
    <t xml:space="preserve">Risorse tecniche — sviluppo e manutenzione piattaforma</t>
  </si>
  <si>
    <t xml:space="preserve">Risorse operative — gestione clienti e agenzie</t>
  </si>
  <si>
    <t xml:space="preserve">Risorse commerciali — sviluppo rete vendita</t>
  </si>
  <si>
    <t xml:space="preserve">Subtotale PERSONALE &amp; COLLABORATORI</t>
  </si>
  <si>
    <t xml:space="preserve">MARKETING</t>
  </si>
  <si>
    <t xml:space="preserve">Campagne Ads (Meta, Google, TikTok)</t>
  </si>
  <si>
    <t xml:space="preserve">Content Creation (foto, video, grafiche)</t>
  </si>
  <si>
    <t xml:space="preserve">Influencer &amp; Partnership</t>
  </si>
  <si>
    <t xml:space="preserve">SEO &amp; Content Marketing</t>
  </si>
  <si>
    <t xml:space="preserve">Branding &amp; Materiali Comunicazione</t>
  </si>
  <si>
    <t xml:space="preserve">Eventi &amp; Fiere Immobiliari</t>
  </si>
  <si>
    <t xml:space="preserve">Subtotale MARKETING</t>
  </si>
  <si>
    <t xml:space="preserve">INFRASTRUTTURA TECH</t>
  </si>
  <si>
    <t xml:space="preserve">Hosting (Vercel Pro)</t>
  </si>
  <si>
    <t xml:space="preserve">Database (Supabase Pro)</t>
  </si>
  <si>
    <t xml:space="preserve">Dominio &amp; DNS</t>
  </si>
  <si>
    <t xml:space="preserve">Stripe (commissioni stimate)</t>
  </si>
  <si>
    <t xml:space="preserve">Email Service (Resend)</t>
  </si>
  <si>
    <t xml:space="preserve">Tool &amp; Licenze Software</t>
  </si>
  <si>
    <t xml:space="preserve">Monitoring &amp; Analytics</t>
  </si>
  <si>
    <t xml:space="preserve">Subtotale INFRASTRUTTURA TECH</t>
  </si>
  <si>
    <t xml:space="preserve">CONSULENZE &amp; SERVIZI</t>
  </si>
  <si>
    <t xml:space="preserve">Commercialista</t>
  </si>
  <si>
    <t xml:space="preserve">Consulente del Lavoro</t>
  </si>
  <si>
    <t xml:space="preserve">Assistenza Legale</t>
  </si>
  <si>
    <t xml:space="preserve">Assicurazioni (RC, D&amp;O)</t>
  </si>
  <si>
    <t xml:space="preserve">Subtotale CONSULENZE &amp; SERVIZI</t>
  </si>
  <si>
    <t xml:space="preserve">COSTI GENERALI</t>
  </si>
  <si>
    <t xml:space="preserve">Ufficio / Coworking</t>
  </si>
  <si>
    <t xml:space="preserve">Costi Bancari</t>
  </si>
  <si>
    <t xml:space="preserve">Software Gestionale / Fatturazione</t>
  </si>
  <si>
    <t xml:space="preserve">Formazione &amp; Aggiornamento</t>
  </si>
  <si>
    <t xml:space="preserve">Trasferte</t>
  </si>
  <si>
    <t xml:space="preserve">Imprevisti (5% costi operativi)</t>
  </si>
  <si>
    <t xml:space="preserve">Subtotale COSTI GENERALI</t>
  </si>
  <si>
    <t xml:space="preserve">TOTALE INVESTIMENTO 24 MESI</t>
  </si>
  <si>
    <t xml:space="preserve">RIEPILOGO INVESTIMENTO &amp; STRUTTURA AGEVOLAZIONE ON</t>
  </si>
  <si>
    <t xml:space="preserve">Categoria</t>
  </si>
  <si>
    <t xml:space="preserve">Anno 1</t>
  </si>
  <si>
    <t xml:space="preserve">Anno 2</t>
  </si>
  <si>
    <t xml:space="preserve">Totale</t>
  </si>
  <si>
    <t xml:space="preserve">Personale</t>
  </si>
  <si>
    <t xml:space="preserve">Marketing</t>
  </si>
  <si>
    <t xml:space="preserve">Infrastruttura Tech</t>
  </si>
  <si>
    <t xml:space="preserve">Consulenze &amp; Servizi</t>
  </si>
  <si>
    <t xml:space="preserve">Costi Generali</t>
  </si>
  <si>
    <t xml:space="preserve">TOTALE INVESTIMENTO</t>
  </si>
  <si>
    <t xml:space="preserve">STRUTTURA AGEVOLAZIONE ON</t>
  </si>
  <si>
    <t xml:space="preserve">Voce</t>
  </si>
  <si>
    <t xml:space="preserve">%</t>
  </si>
  <si>
    <t xml:space="preserve">Importo</t>
  </si>
  <si>
    <t xml:space="preserve">Note</t>
  </si>
  <si>
    <t xml:space="preserve">Copertura agevolazione</t>
  </si>
  <si>
    <t xml:space="preserve">90%</t>
  </si>
  <si>
    <t xml:space="preserve">Massimo ammissibile</t>
  </si>
  <si>
    <t xml:space="preserve">Contributo a Fondo Perduto (20%)</t>
  </si>
  <si>
    <t xml:space="preserve">20%</t>
  </si>
  <si>
    <t xml:space="preserve">Non va restituito</t>
  </si>
  <si>
    <t xml:space="preserve">Finanziamento a Tasso Zero (80%)</t>
  </si>
  <si>
    <t xml:space="preserve">80%</t>
  </si>
  <si>
    <t xml:space="preserve">Da restituire in 10 anni</t>
  </si>
  <si>
    <t xml:space="preserve">Quota a carico dell'impresa (10%)</t>
  </si>
  <si>
    <t xml:space="preserve">10%</t>
  </si>
  <si>
    <t xml:space="preserve">Mezzi propri o altro</t>
  </si>
  <si>
    <t xml:space="preserve">SIMULAZIONE RIMBORSO FINANZIAMENTO A TASSO ZERO — 10 ANNI</t>
  </si>
  <si>
    <t xml:space="preserve">Rate semestrali costanti posticipate (31 maggio e 30 novembre)</t>
  </si>
  <si>
    <t xml:space="preserve">Parametri</t>
  </si>
  <si>
    <t xml:space="preserve">Importo finanziamento:</t>
  </si>
  <si>
    <t xml:space="preserve">Durata (anni):</t>
  </si>
  <si>
    <t xml:space="preserve">N° rate semestrali:</t>
  </si>
  <si>
    <t xml:space="preserve">Importo singola rata:</t>
  </si>
  <si>
    <t xml:space="preserve">Equivalente mensile:</t>
  </si>
  <si>
    <t xml:space="preserve">Rata N°</t>
  </si>
  <si>
    <t xml:space="preserve">Scadenza</t>
  </si>
  <si>
    <t xml:space="preserve">Importo Rata</t>
  </si>
  <si>
    <t xml:space="preserve">Capitale Rimborsato</t>
  </si>
  <si>
    <t xml:space="preserve">Debito Residuo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</si>
</sst>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&quot; €&quot;"/>
    <numFmt numFmtId="166" formatCode="dd/mm/yyyy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i val="true"/>
      <sz val="10"/>
      <color rgb="FF666666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C000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27" min="2" style="0" width="13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4" customFormat="false" ht="15" hidden="false" customHeight="fals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</row>
    <row r="5" customFormat="false" ht="15" hidden="false" customHeight="false" outlineLevel="0" collapsed="false">
      <c r="A5" s="5" t="s">
        <v>29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customFormat="false" ht="15" hidden="false" customHeight="false" outlineLevel="0" collapsed="false">
      <c r="A6" s="7" t="s">
        <v>30</v>
      </c>
      <c r="B6" s="8" t="n">
        <v>2000</v>
      </c>
      <c r="C6" s="8" t="n">
        <v>2000</v>
      </c>
      <c r="D6" s="8" t="n">
        <v>2000</v>
      </c>
      <c r="E6" s="8" t="n">
        <v>2000</v>
      </c>
      <c r="F6" s="8" t="n">
        <v>2000</v>
      </c>
      <c r="G6" s="8" t="n">
        <v>2000</v>
      </c>
      <c r="H6" s="8" t="n">
        <v>2000</v>
      </c>
      <c r="I6" s="8" t="n">
        <v>2000</v>
      </c>
      <c r="J6" s="8" t="n">
        <v>2000</v>
      </c>
      <c r="K6" s="8" t="n">
        <v>2000</v>
      </c>
      <c r="L6" s="8" t="n">
        <v>2000</v>
      </c>
      <c r="M6" s="8" t="n">
        <v>2000</v>
      </c>
      <c r="N6" s="8" t="n">
        <v>2000</v>
      </c>
      <c r="O6" s="8" t="n">
        <v>2000</v>
      </c>
      <c r="P6" s="8" t="n">
        <v>2000</v>
      </c>
      <c r="Q6" s="8" t="n">
        <v>2000</v>
      </c>
      <c r="R6" s="8" t="n">
        <v>2000</v>
      </c>
      <c r="S6" s="8" t="n">
        <v>2000</v>
      </c>
      <c r="T6" s="8" t="n">
        <v>2000</v>
      </c>
      <c r="U6" s="8" t="n">
        <v>2000</v>
      </c>
      <c r="V6" s="8" t="n">
        <v>2000</v>
      </c>
      <c r="W6" s="8" t="n">
        <v>2000</v>
      </c>
      <c r="X6" s="8" t="n">
        <v>2000</v>
      </c>
      <c r="Y6" s="8" t="n">
        <v>2000</v>
      </c>
      <c r="Z6" s="9" t="n">
        <f aca="false">SUM(B6:M6)</f>
        <v>24000</v>
      </c>
      <c r="AA6" s="9" t="n">
        <f aca="false">SUM(N6:Y6)</f>
        <v>24000</v>
      </c>
    </row>
    <row r="7" customFormat="false" ht="15" hidden="false" customHeight="false" outlineLevel="0" collapsed="false">
      <c r="A7" s="7" t="s">
        <v>31</v>
      </c>
      <c r="B7" s="10" t="n">
        <v>0</v>
      </c>
      <c r="C7" s="10" t="n">
        <v>0</v>
      </c>
      <c r="D7" s="10" t="n">
        <v>4200</v>
      </c>
      <c r="E7" s="10" t="n">
        <v>4200</v>
      </c>
      <c r="F7" s="10" t="n">
        <v>4200</v>
      </c>
      <c r="G7" s="10" t="n">
        <v>4200</v>
      </c>
      <c r="H7" s="10" t="n">
        <v>4200</v>
      </c>
      <c r="I7" s="10" t="n">
        <v>4200</v>
      </c>
      <c r="J7" s="10" t="n">
        <v>4200</v>
      </c>
      <c r="K7" s="10" t="n">
        <v>4200</v>
      </c>
      <c r="L7" s="10" t="n">
        <v>4200</v>
      </c>
      <c r="M7" s="10" t="n">
        <v>4200</v>
      </c>
      <c r="N7" s="10" t="n">
        <v>4200</v>
      </c>
      <c r="O7" s="10" t="n">
        <v>4200</v>
      </c>
      <c r="P7" s="10" t="n">
        <v>4200</v>
      </c>
      <c r="Q7" s="10" t="n">
        <v>4200</v>
      </c>
      <c r="R7" s="10" t="n">
        <v>4200</v>
      </c>
      <c r="S7" s="10" t="n">
        <v>4200</v>
      </c>
      <c r="T7" s="10" t="n">
        <v>4200</v>
      </c>
      <c r="U7" s="10" t="n">
        <v>4200</v>
      </c>
      <c r="V7" s="10" t="n">
        <v>4200</v>
      </c>
      <c r="W7" s="10" t="n">
        <v>4200</v>
      </c>
      <c r="X7" s="10" t="n">
        <v>4200</v>
      </c>
      <c r="Y7" s="10" t="n">
        <v>4200</v>
      </c>
      <c r="Z7" s="9" t="n">
        <f aca="false">SUM(B7:M7)</f>
        <v>42000</v>
      </c>
      <c r="AA7" s="9" t="n">
        <f aca="false">SUM(N7:Y7)</f>
        <v>50400</v>
      </c>
    </row>
    <row r="8" customFormat="false" ht="15" hidden="false" customHeight="false" outlineLevel="0" collapsed="false">
      <c r="A8" s="7" t="s">
        <v>32</v>
      </c>
      <c r="B8" s="8" t="n">
        <v>0</v>
      </c>
      <c r="C8" s="8" t="n">
        <v>0</v>
      </c>
      <c r="D8" s="8" t="n">
        <v>0</v>
      </c>
      <c r="E8" s="8" t="n">
        <v>1200</v>
      </c>
      <c r="F8" s="8" t="n">
        <v>1200</v>
      </c>
      <c r="G8" s="8" t="n">
        <v>1200</v>
      </c>
      <c r="H8" s="8" t="n">
        <v>1200</v>
      </c>
      <c r="I8" s="8" t="n">
        <v>1200</v>
      </c>
      <c r="J8" s="8" t="n">
        <v>1200</v>
      </c>
      <c r="K8" s="8" t="n">
        <v>1200</v>
      </c>
      <c r="L8" s="8" t="n">
        <v>1200</v>
      </c>
      <c r="M8" s="8" t="n">
        <v>1200</v>
      </c>
      <c r="N8" s="8" t="n">
        <v>2200</v>
      </c>
      <c r="O8" s="8" t="n">
        <v>2200</v>
      </c>
      <c r="P8" s="8" t="n">
        <v>2200</v>
      </c>
      <c r="Q8" s="8" t="n">
        <v>2200</v>
      </c>
      <c r="R8" s="8" t="n">
        <v>2200</v>
      </c>
      <c r="S8" s="8" t="n">
        <v>2200</v>
      </c>
      <c r="T8" s="8" t="n">
        <v>2200</v>
      </c>
      <c r="U8" s="8" t="n">
        <v>2200</v>
      </c>
      <c r="V8" s="8" t="n">
        <v>2200</v>
      </c>
      <c r="W8" s="8" t="n">
        <v>2200</v>
      </c>
      <c r="X8" s="8" t="n">
        <v>2200</v>
      </c>
      <c r="Y8" s="8" t="n">
        <v>2200</v>
      </c>
      <c r="Z8" s="9" t="n">
        <f aca="false">SUM(B8:M8)</f>
        <v>10800</v>
      </c>
      <c r="AA8" s="9" t="n">
        <f aca="false">SUM(N8:Y8)</f>
        <v>26400</v>
      </c>
    </row>
    <row r="9" customFormat="false" ht="15" hidden="false" customHeight="false" outlineLevel="0" collapsed="false">
      <c r="A9" s="7" t="s">
        <v>33</v>
      </c>
      <c r="B9" s="10" t="n">
        <v>0</v>
      </c>
      <c r="C9" s="10" t="n">
        <v>0</v>
      </c>
      <c r="D9" s="10" t="n">
        <v>0</v>
      </c>
      <c r="E9" s="10" t="n">
        <v>0</v>
      </c>
      <c r="F9" s="10" t="n">
        <v>0</v>
      </c>
      <c r="G9" s="10" t="n">
        <v>0</v>
      </c>
      <c r="H9" s="10" t="n">
        <v>500</v>
      </c>
      <c r="I9" s="10" t="n">
        <v>500</v>
      </c>
      <c r="J9" s="10" t="n">
        <v>500</v>
      </c>
      <c r="K9" s="10" t="n">
        <v>500</v>
      </c>
      <c r="L9" s="10" t="n">
        <v>500</v>
      </c>
      <c r="M9" s="10" t="n">
        <v>500</v>
      </c>
      <c r="N9" s="10" t="n">
        <v>1000</v>
      </c>
      <c r="O9" s="10" t="n">
        <v>1000</v>
      </c>
      <c r="P9" s="10" t="n">
        <v>1000</v>
      </c>
      <c r="Q9" s="10" t="n">
        <v>1000</v>
      </c>
      <c r="R9" s="10" t="n">
        <v>1000</v>
      </c>
      <c r="S9" s="10" t="n">
        <v>1000</v>
      </c>
      <c r="T9" s="10" t="n">
        <v>1000</v>
      </c>
      <c r="U9" s="10" t="n">
        <v>1000</v>
      </c>
      <c r="V9" s="10" t="n">
        <v>1000</v>
      </c>
      <c r="W9" s="10" t="n">
        <v>1000</v>
      </c>
      <c r="X9" s="10" t="n">
        <v>1000</v>
      </c>
      <c r="Y9" s="10" t="n">
        <v>1000</v>
      </c>
      <c r="Z9" s="9" t="n">
        <f aca="false">SUM(B9:M9)</f>
        <v>3000</v>
      </c>
      <c r="AA9" s="9" t="n">
        <f aca="false">SUM(N9:Y9)</f>
        <v>12000</v>
      </c>
    </row>
    <row r="10" customFormat="false" ht="15" hidden="false" customHeight="false" outlineLevel="0" collapsed="false">
      <c r="A10" s="11" t="s">
        <v>34</v>
      </c>
      <c r="B10" s="12" t="n">
        <f aca="false">B6+B7+B8+B9</f>
        <v>2000</v>
      </c>
      <c r="C10" s="12" t="n">
        <f aca="false">C6+C7+C8+C9</f>
        <v>2000</v>
      </c>
      <c r="D10" s="12" t="n">
        <f aca="false">D6+D7+D8+D9</f>
        <v>6200</v>
      </c>
      <c r="E10" s="12" t="n">
        <f aca="false">E6+E7+E8+E9</f>
        <v>7400</v>
      </c>
      <c r="F10" s="12" t="n">
        <f aca="false">F6+F7+F8+F9</f>
        <v>7400</v>
      </c>
      <c r="G10" s="12" t="n">
        <f aca="false">G6+G7+G8+G9</f>
        <v>7400</v>
      </c>
      <c r="H10" s="12" t="n">
        <f aca="false">H6+H7+H8+H9</f>
        <v>7900</v>
      </c>
      <c r="I10" s="12" t="n">
        <f aca="false">I6+I7+I8+I9</f>
        <v>7900</v>
      </c>
      <c r="J10" s="12" t="n">
        <f aca="false">J6+J7+J8+J9</f>
        <v>7900</v>
      </c>
      <c r="K10" s="12" t="n">
        <f aca="false">K6+K7+K8+K9</f>
        <v>7900</v>
      </c>
      <c r="L10" s="12" t="n">
        <f aca="false">L6+L7+L8+L9</f>
        <v>7900</v>
      </c>
      <c r="M10" s="12" t="n">
        <f aca="false">M6+M7+M8+M9</f>
        <v>7900</v>
      </c>
      <c r="N10" s="12" t="n">
        <f aca="false">N6+N7+N8+N9</f>
        <v>9400</v>
      </c>
      <c r="O10" s="12" t="n">
        <f aca="false">O6+O7+O8+O9</f>
        <v>9400</v>
      </c>
      <c r="P10" s="12" t="n">
        <f aca="false">P6+P7+P8+P9</f>
        <v>9400</v>
      </c>
      <c r="Q10" s="12" t="n">
        <f aca="false">Q6+Q7+Q8+Q9</f>
        <v>9400</v>
      </c>
      <c r="R10" s="12" t="n">
        <f aca="false">R6+R7+R8+R9</f>
        <v>9400</v>
      </c>
      <c r="S10" s="12" t="n">
        <f aca="false">S6+S7+S8+S9</f>
        <v>9400</v>
      </c>
      <c r="T10" s="12" t="n">
        <f aca="false">T6+T7+T8+T9</f>
        <v>9400</v>
      </c>
      <c r="U10" s="12" t="n">
        <f aca="false">U6+U7+U8+U9</f>
        <v>9400</v>
      </c>
      <c r="V10" s="12" t="n">
        <f aca="false">V6+V7+V8+V9</f>
        <v>9400</v>
      </c>
      <c r="W10" s="12" t="n">
        <f aca="false">W6+W7+W8+W9</f>
        <v>9400</v>
      </c>
      <c r="X10" s="12" t="n">
        <f aca="false">X6+X7+X8+X9</f>
        <v>9400</v>
      </c>
      <c r="Y10" s="12" t="n">
        <f aca="false">Y6+Y7+Y8+Y9</f>
        <v>9400</v>
      </c>
      <c r="Z10" s="12" t="n">
        <f aca="false">Z6+Z7+Z8+Z9</f>
        <v>79800</v>
      </c>
      <c r="AA10" s="12" t="n">
        <f aca="false">AA6+AA7+AA8+AA9</f>
        <v>112800</v>
      </c>
    </row>
    <row r="12" customFormat="false" ht="15" hidden="false" customHeight="false" outlineLevel="0" collapsed="false">
      <c r="A12" s="5" t="s">
        <v>35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customFormat="false" ht="15" hidden="false" customHeight="false" outlineLevel="0" collapsed="false">
      <c r="A13" s="7" t="s">
        <v>36</v>
      </c>
      <c r="B13" s="10" t="n">
        <v>1500</v>
      </c>
      <c r="C13" s="10" t="n">
        <v>1500</v>
      </c>
      <c r="D13" s="10" t="n">
        <v>1500</v>
      </c>
      <c r="E13" s="10" t="n">
        <v>2500</v>
      </c>
      <c r="F13" s="10" t="n">
        <v>2500</v>
      </c>
      <c r="G13" s="10" t="n">
        <v>2500</v>
      </c>
      <c r="H13" s="10" t="n">
        <v>3500</v>
      </c>
      <c r="I13" s="10" t="n">
        <v>3500</v>
      </c>
      <c r="J13" s="10" t="n">
        <v>3500</v>
      </c>
      <c r="K13" s="10" t="n">
        <v>3500</v>
      </c>
      <c r="L13" s="10" t="n">
        <v>3500</v>
      </c>
      <c r="M13" s="10" t="n">
        <v>3500</v>
      </c>
      <c r="N13" s="10" t="n">
        <v>4500</v>
      </c>
      <c r="O13" s="10" t="n">
        <v>4500</v>
      </c>
      <c r="P13" s="10" t="n">
        <v>4500</v>
      </c>
      <c r="Q13" s="10" t="n">
        <v>4500</v>
      </c>
      <c r="R13" s="10" t="n">
        <v>4500</v>
      </c>
      <c r="S13" s="10" t="n">
        <v>4500</v>
      </c>
      <c r="T13" s="10" t="n">
        <v>5500</v>
      </c>
      <c r="U13" s="10" t="n">
        <v>5500</v>
      </c>
      <c r="V13" s="10" t="n">
        <v>5500</v>
      </c>
      <c r="W13" s="10" t="n">
        <v>5500</v>
      </c>
      <c r="X13" s="10" t="n">
        <v>5500</v>
      </c>
      <c r="Y13" s="10" t="n">
        <v>5500</v>
      </c>
      <c r="Z13" s="9" t="n">
        <f aca="false">SUM(B13:M13)</f>
        <v>33000</v>
      </c>
      <c r="AA13" s="9" t="n">
        <f aca="false">SUM(N13:Y13)</f>
        <v>60000</v>
      </c>
    </row>
    <row r="14" customFormat="false" ht="15" hidden="false" customHeight="false" outlineLevel="0" collapsed="false">
      <c r="A14" s="7" t="s">
        <v>37</v>
      </c>
      <c r="B14" s="8" t="n">
        <v>2000</v>
      </c>
      <c r="C14" s="8" t="n">
        <v>1000</v>
      </c>
      <c r="D14" s="8" t="n">
        <v>1000</v>
      </c>
      <c r="E14" s="8" t="n">
        <v>1000</v>
      </c>
      <c r="F14" s="8" t="n">
        <v>1000</v>
      </c>
      <c r="G14" s="8" t="n">
        <v>1000</v>
      </c>
      <c r="H14" s="8" t="n">
        <v>1500</v>
      </c>
      <c r="I14" s="8" t="n">
        <v>1500</v>
      </c>
      <c r="J14" s="8" t="n">
        <v>1500</v>
      </c>
      <c r="K14" s="8" t="n">
        <v>1500</v>
      </c>
      <c r="L14" s="8" t="n">
        <v>1500</v>
      </c>
      <c r="M14" s="8" t="n">
        <v>1500</v>
      </c>
      <c r="N14" s="8" t="n">
        <v>1500</v>
      </c>
      <c r="O14" s="8" t="n">
        <v>1500</v>
      </c>
      <c r="P14" s="8" t="n">
        <v>1500</v>
      </c>
      <c r="Q14" s="8" t="n">
        <v>1500</v>
      </c>
      <c r="R14" s="8" t="n">
        <v>1500</v>
      </c>
      <c r="S14" s="8" t="n">
        <v>1500</v>
      </c>
      <c r="T14" s="8" t="n">
        <v>1500</v>
      </c>
      <c r="U14" s="8" t="n">
        <v>1500</v>
      </c>
      <c r="V14" s="8" t="n">
        <v>1500</v>
      </c>
      <c r="W14" s="8" t="n">
        <v>1500</v>
      </c>
      <c r="X14" s="8" t="n">
        <v>1500</v>
      </c>
      <c r="Y14" s="8" t="n">
        <v>1500</v>
      </c>
      <c r="Z14" s="9" t="n">
        <f aca="false">SUM(B14:M14)</f>
        <v>16000</v>
      </c>
      <c r="AA14" s="9" t="n">
        <f aca="false">SUM(N14:Y14)</f>
        <v>18000</v>
      </c>
    </row>
    <row r="15" customFormat="false" ht="15" hidden="false" customHeight="false" outlineLevel="0" collapsed="false">
      <c r="A15" s="7" t="s">
        <v>38</v>
      </c>
      <c r="B15" s="10" t="n">
        <v>0</v>
      </c>
      <c r="C15" s="10" t="n">
        <v>0</v>
      </c>
      <c r="D15" s="10" t="n">
        <v>1500</v>
      </c>
      <c r="E15" s="10" t="n">
        <v>1500</v>
      </c>
      <c r="F15" s="10" t="n">
        <v>1500</v>
      </c>
      <c r="G15" s="10" t="n">
        <v>1500</v>
      </c>
      <c r="H15" s="10" t="n">
        <v>2000</v>
      </c>
      <c r="I15" s="10" t="n">
        <v>2000</v>
      </c>
      <c r="J15" s="10" t="n">
        <v>2000</v>
      </c>
      <c r="K15" s="10" t="n">
        <v>2000</v>
      </c>
      <c r="L15" s="10" t="n">
        <v>2000</v>
      </c>
      <c r="M15" s="10" t="n">
        <v>2000</v>
      </c>
      <c r="N15" s="10" t="n">
        <v>2500</v>
      </c>
      <c r="O15" s="10" t="n">
        <v>2500</v>
      </c>
      <c r="P15" s="10" t="n">
        <v>2500</v>
      </c>
      <c r="Q15" s="10" t="n">
        <v>2500</v>
      </c>
      <c r="R15" s="10" t="n">
        <v>2500</v>
      </c>
      <c r="S15" s="10" t="n">
        <v>2500</v>
      </c>
      <c r="T15" s="10" t="n">
        <v>2500</v>
      </c>
      <c r="U15" s="10" t="n">
        <v>2500</v>
      </c>
      <c r="V15" s="10" t="n">
        <v>2500</v>
      </c>
      <c r="W15" s="10" t="n">
        <v>2500</v>
      </c>
      <c r="X15" s="10" t="n">
        <v>2500</v>
      </c>
      <c r="Y15" s="10" t="n">
        <v>2500</v>
      </c>
      <c r="Z15" s="9" t="n">
        <f aca="false">SUM(B15:M15)</f>
        <v>18000</v>
      </c>
      <c r="AA15" s="9" t="n">
        <f aca="false">SUM(N15:Y15)</f>
        <v>30000</v>
      </c>
    </row>
    <row r="16" customFormat="false" ht="15" hidden="false" customHeight="false" outlineLevel="0" collapsed="false">
      <c r="A16" s="7" t="s">
        <v>39</v>
      </c>
      <c r="B16" s="8" t="n">
        <v>500</v>
      </c>
      <c r="C16" s="8" t="n">
        <v>500</v>
      </c>
      <c r="D16" s="8" t="n">
        <v>500</v>
      </c>
      <c r="E16" s="8" t="n">
        <v>500</v>
      </c>
      <c r="F16" s="8" t="n">
        <v>500</v>
      </c>
      <c r="G16" s="8" t="n">
        <v>500</v>
      </c>
      <c r="H16" s="8" t="n">
        <v>800</v>
      </c>
      <c r="I16" s="8" t="n">
        <v>800</v>
      </c>
      <c r="J16" s="8" t="n">
        <v>800</v>
      </c>
      <c r="K16" s="8" t="n">
        <v>800</v>
      </c>
      <c r="L16" s="8" t="n">
        <v>800</v>
      </c>
      <c r="M16" s="8" t="n">
        <v>800</v>
      </c>
      <c r="N16" s="8" t="n">
        <v>1000</v>
      </c>
      <c r="O16" s="8" t="n">
        <v>1000</v>
      </c>
      <c r="P16" s="8" t="n">
        <v>1000</v>
      </c>
      <c r="Q16" s="8" t="n">
        <v>1000</v>
      </c>
      <c r="R16" s="8" t="n">
        <v>1000</v>
      </c>
      <c r="S16" s="8" t="n">
        <v>1000</v>
      </c>
      <c r="T16" s="8" t="n">
        <v>1000</v>
      </c>
      <c r="U16" s="8" t="n">
        <v>1000</v>
      </c>
      <c r="V16" s="8" t="n">
        <v>1000</v>
      </c>
      <c r="W16" s="8" t="n">
        <v>1000</v>
      </c>
      <c r="X16" s="8" t="n">
        <v>1000</v>
      </c>
      <c r="Y16" s="8" t="n">
        <v>1000</v>
      </c>
      <c r="Z16" s="9" t="n">
        <f aca="false">SUM(B16:M16)</f>
        <v>7800</v>
      </c>
      <c r="AA16" s="9" t="n">
        <f aca="false">SUM(N16:Y16)</f>
        <v>12000</v>
      </c>
    </row>
    <row r="17" customFormat="false" ht="15" hidden="false" customHeight="false" outlineLevel="0" collapsed="false">
      <c r="A17" s="7" t="s">
        <v>40</v>
      </c>
      <c r="B17" s="10" t="n">
        <v>3000</v>
      </c>
      <c r="C17" s="10" t="n">
        <v>500</v>
      </c>
      <c r="D17" s="10" t="n">
        <v>500</v>
      </c>
      <c r="E17" s="10" t="n">
        <v>500</v>
      </c>
      <c r="F17" s="10" t="n">
        <v>500</v>
      </c>
      <c r="G17" s="10" t="n">
        <v>500</v>
      </c>
      <c r="H17" s="10" t="n">
        <v>300</v>
      </c>
      <c r="I17" s="10" t="n">
        <v>300</v>
      </c>
      <c r="J17" s="10" t="n">
        <v>300</v>
      </c>
      <c r="K17" s="10" t="n">
        <v>300</v>
      </c>
      <c r="L17" s="10" t="n">
        <v>300</v>
      </c>
      <c r="M17" s="10" t="n">
        <v>300</v>
      </c>
      <c r="N17" s="10" t="n">
        <v>300</v>
      </c>
      <c r="O17" s="10" t="n">
        <v>300</v>
      </c>
      <c r="P17" s="10" t="n">
        <v>300</v>
      </c>
      <c r="Q17" s="10" t="n">
        <v>300</v>
      </c>
      <c r="R17" s="10" t="n">
        <v>300</v>
      </c>
      <c r="S17" s="10" t="n">
        <v>300</v>
      </c>
      <c r="T17" s="10" t="n">
        <v>300</v>
      </c>
      <c r="U17" s="10" t="n">
        <v>300</v>
      </c>
      <c r="V17" s="10" t="n">
        <v>300</v>
      </c>
      <c r="W17" s="10" t="n">
        <v>300</v>
      </c>
      <c r="X17" s="10" t="n">
        <v>300</v>
      </c>
      <c r="Y17" s="10" t="n">
        <v>300</v>
      </c>
      <c r="Z17" s="9" t="n">
        <f aca="false">SUM(B17:M17)</f>
        <v>7300</v>
      </c>
      <c r="AA17" s="9" t="n">
        <f aca="false">SUM(N17:Y17)</f>
        <v>3600</v>
      </c>
    </row>
    <row r="18" customFormat="false" ht="15" hidden="false" customHeight="false" outlineLevel="0" collapsed="false">
      <c r="A18" s="7" t="s">
        <v>41</v>
      </c>
      <c r="B18" s="8" t="n">
        <v>0</v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2000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2000</v>
      </c>
      <c r="N18" s="8" t="n">
        <v>1500</v>
      </c>
      <c r="O18" s="8" t="n">
        <v>1500</v>
      </c>
      <c r="P18" s="8" t="n">
        <v>1500</v>
      </c>
      <c r="Q18" s="8" t="n">
        <v>1500</v>
      </c>
      <c r="R18" s="8" t="n">
        <v>1500</v>
      </c>
      <c r="S18" s="8" t="n">
        <v>1500</v>
      </c>
      <c r="T18" s="8" t="n">
        <v>0</v>
      </c>
      <c r="U18" s="8" t="n">
        <v>0</v>
      </c>
      <c r="V18" s="8" t="n">
        <v>0</v>
      </c>
      <c r="W18" s="8" t="n">
        <v>1500</v>
      </c>
      <c r="X18" s="8" t="n">
        <v>0</v>
      </c>
      <c r="Y18" s="8" t="n">
        <v>1500</v>
      </c>
      <c r="Z18" s="9" t="n">
        <f aca="false">SUM(B18:M18)</f>
        <v>4000</v>
      </c>
      <c r="AA18" s="9" t="n">
        <f aca="false">SUM(N18:Y18)</f>
        <v>12000</v>
      </c>
    </row>
    <row r="19" customFormat="false" ht="15" hidden="false" customHeight="false" outlineLevel="0" collapsed="false">
      <c r="A19" s="11" t="s">
        <v>42</v>
      </c>
      <c r="B19" s="12" t="n">
        <f aca="false">B13+B14+B15+B16+B17+B18</f>
        <v>7000</v>
      </c>
      <c r="C19" s="12" t="n">
        <f aca="false">C13+C14+C15+C16+C17+C18</f>
        <v>3500</v>
      </c>
      <c r="D19" s="12" t="n">
        <f aca="false">D13+D14+D15+D16+D17+D18</f>
        <v>5000</v>
      </c>
      <c r="E19" s="12" t="n">
        <f aca="false">E13+E14+E15+E16+E17+E18</f>
        <v>6000</v>
      </c>
      <c r="F19" s="12" t="n">
        <f aca="false">F13+F14+F15+F16+F17+F18</f>
        <v>6000</v>
      </c>
      <c r="G19" s="12" t="n">
        <f aca="false">G13+G14+G15+G16+G17+G18</f>
        <v>8000</v>
      </c>
      <c r="H19" s="12" t="n">
        <f aca="false">H13+H14+H15+H16+H17+H18</f>
        <v>8100</v>
      </c>
      <c r="I19" s="12" t="n">
        <f aca="false">I13+I14+I15+I16+I17+I18</f>
        <v>8100</v>
      </c>
      <c r="J19" s="12" t="n">
        <f aca="false">J13+J14+J15+J16+J17+J18</f>
        <v>8100</v>
      </c>
      <c r="K19" s="12" t="n">
        <f aca="false">K13+K14+K15+K16+K17+K18</f>
        <v>8100</v>
      </c>
      <c r="L19" s="12" t="n">
        <f aca="false">L13+L14+L15+L16+L17+L18</f>
        <v>8100</v>
      </c>
      <c r="M19" s="12" t="n">
        <f aca="false">M13+M14+M15+M16+M17+M18</f>
        <v>10100</v>
      </c>
      <c r="N19" s="12" t="n">
        <f aca="false">N13+N14+N15+N16+N17+N18</f>
        <v>11300</v>
      </c>
      <c r="O19" s="12" t="n">
        <f aca="false">O13+O14+O15+O16+O17+O18</f>
        <v>11300</v>
      </c>
      <c r="P19" s="12" t="n">
        <f aca="false">P13+P14+P15+P16+P17+P18</f>
        <v>11300</v>
      </c>
      <c r="Q19" s="12" t="n">
        <f aca="false">Q13+Q14+Q15+Q16+Q17+Q18</f>
        <v>11300</v>
      </c>
      <c r="R19" s="12" t="n">
        <f aca="false">R13+R14+R15+R16+R17+R18</f>
        <v>11300</v>
      </c>
      <c r="S19" s="12" t="n">
        <f aca="false">S13+S14+S15+S16+S17+S18</f>
        <v>11300</v>
      </c>
      <c r="T19" s="12" t="n">
        <f aca="false">T13+T14+T15+T16+T17+T18</f>
        <v>10800</v>
      </c>
      <c r="U19" s="12" t="n">
        <f aca="false">U13+U14+U15+U16+U17+U18</f>
        <v>10800</v>
      </c>
      <c r="V19" s="12" t="n">
        <f aca="false">V13+V14+V15+V16+V17+V18</f>
        <v>10800</v>
      </c>
      <c r="W19" s="12" t="n">
        <f aca="false">W13+W14+W15+W16+W17+W18</f>
        <v>12300</v>
      </c>
      <c r="X19" s="12" t="n">
        <f aca="false">X13+X14+X15+X16+X17+X18</f>
        <v>10800</v>
      </c>
      <c r="Y19" s="12" t="n">
        <f aca="false">Y13+Y14+Y15+Y16+Y17+Y18</f>
        <v>12300</v>
      </c>
      <c r="Z19" s="12" t="n">
        <f aca="false">Z13+Z14+Z15+Z16+Z17+Z18</f>
        <v>86100</v>
      </c>
      <c r="AA19" s="12" t="n">
        <f aca="false">AA13+AA14+AA15+AA16+AA17+AA18</f>
        <v>135600</v>
      </c>
    </row>
    <row r="21" customFormat="false" ht="15" hidden="false" customHeight="false" outlineLevel="0" collapsed="false">
      <c r="A21" s="5" t="s">
        <v>43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customFormat="false" ht="15" hidden="false" customHeight="false" outlineLevel="0" collapsed="false">
      <c r="A22" s="7" t="s">
        <v>44</v>
      </c>
      <c r="B22" s="8" t="n">
        <v>20</v>
      </c>
      <c r="C22" s="8" t="n">
        <v>20</v>
      </c>
      <c r="D22" s="8" t="n">
        <v>20</v>
      </c>
      <c r="E22" s="8" t="n">
        <v>20</v>
      </c>
      <c r="F22" s="8" t="n">
        <v>20</v>
      </c>
      <c r="G22" s="8" t="n">
        <v>20</v>
      </c>
      <c r="H22" s="8" t="n">
        <v>20</v>
      </c>
      <c r="I22" s="8" t="n">
        <v>20</v>
      </c>
      <c r="J22" s="8" t="n">
        <v>20</v>
      </c>
      <c r="K22" s="8" t="n">
        <v>20</v>
      </c>
      <c r="L22" s="8" t="n">
        <v>20</v>
      </c>
      <c r="M22" s="8" t="n">
        <v>20</v>
      </c>
      <c r="N22" s="8" t="n">
        <v>20</v>
      </c>
      <c r="O22" s="8" t="n">
        <v>20</v>
      </c>
      <c r="P22" s="8" t="n">
        <v>20</v>
      </c>
      <c r="Q22" s="8" t="n">
        <v>20</v>
      </c>
      <c r="R22" s="8" t="n">
        <v>20</v>
      </c>
      <c r="S22" s="8" t="n">
        <v>20</v>
      </c>
      <c r="T22" s="8" t="n">
        <v>20</v>
      </c>
      <c r="U22" s="8" t="n">
        <v>20</v>
      </c>
      <c r="V22" s="8" t="n">
        <v>20</v>
      </c>
      <c r="W22" s="8" t="n">
        <v>20</v>
      </c>
      <c r="X22" s="8" t="n">
        <v>20</v>
      </c>
      <c r="Y22" s="8" t="n">
        <v>20</v>
      </c>
      <c r="Z22" s="9" t="n">
        <f aca="false">SUM(B22:M22)</f>
        <v>240</v>
      </c>
      <c r="AA22" s="9" t="n">
        <f aca="false">SUM(N22:Y22)</f>
        <v>240</v>
      </c>
    </row>
    <row r="23" customFormat="false" ht="15" hidden="false" customHeight="false" outlineLevel="0" collapsed="false">
      <c r="A23" s="7" t="s">
        <v>45</v>
      </c>
      <c r="B23" s="10" t="n">
        <v>25</v>
      </c>
      <c r="C23" s="10" t="n">
        <v>25</v>
      </c>
      <c r="D23" s="10" t="n">
        <v>25</v>
      </c>
      <c r="E23" s="10" t="n">
        <v>25</v>
      </c>
      <c r="F23" s="10" t="n">
        <v>25</v>
      </c>
      <c r="G23" s="10" t="n">
        <v>25</v>
      </c>
      <c r="H23" s="10" t="n">
        <v>25</v>
      </c>
      <c r="I23" s="10" t="n">
        <v>25</v>
      </c>
      <c r="J23" s="10" t="n">
        <v>25</v>
      </c>
      <c r="K23" s="10" t="n">
        <v>25</v>
      </c>
      <c r="L23" s="10" t="n">
        <v>25</v>
      </c>
      <c r="M23" s="10" t="n">
        <v>25</v>
      </c>
      <c r="N23" s="10" t="n">
        <v>25</v>
      </c>
      <c r="O23" s="10" t="n">
        <v>25</v>
      </c>
      <c r="P23" s="10" t="n">
        <v>25</v>
      </c>
      <c r="Q23" s="10" t="n">
        <v>25</v>
      </c>
      <c r="R23" s="10" t="n">
        <v>25</v>
      </c>
      <c r="S23" s="10" t="n">
        <v>25</v>
      </c>
      <c r="T23" s="10" t="n">
        <v>25</v>
      </c>
      <c r="U23" s="10" t="n">
        <v>25</v>
      </c>
      <c r="V23" s="10" t="n">
        <v>25</v>
      </c>
      <c r="W23" s="10" t="n">
        <v>25</v>
      </c>
      <c r="X23" s="10" t="n">
        <v>25</v>
      </c>
      <c r="Y23" s="10" t="n">
        <v>25</v>
      </c>
      <c r="Z23" s="9" t="n">
        <f aca="false">SUM(B23:M23)</f>
        <v>300</v>
      </c>
      <c r="AA23" s="9" t="n">
        <f aca="false">SUM(N23:Y23)</f>
        <v>300</v>
      </c>
    </row>
    <row r="24" customFormat="false" ht="15" hidden="false" customHeight="false" outlineLevel="0" collapsed="false">
      <c r="A24" s="7" t="s">
        <v>46</v>
      </c>
      <c r="B24" s="8" t="n">
        <v>50</v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50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9" t="n">
        <f aca="false">SUM(B24:M24)</f>
        <v>50</v>
      </c>
      <c r="AA24" s="9" t="n">
        <f aca="false">SUM(N24:Y24)</f>
        <v>50</v>
      </c>
    </row>
    <row r="25" customFormat="false" ht="15" hidden="false" customHeight="false" outlineLevel="0" collapsed="false">
      <c r="A25" s="7" t="s">
        <v>47</v>
      </c>
      <c r="B25" s="10" t="n">
        <v>0</v>
      </c>
      <c r="C25" s="10" t="n">
        <v>0</v>
      </c>
      <c r="D25" s="10" t="n">
        <v>0</v>
      </c>
      <c r="E25" s="10" t="n">
        <v>50</v>
      </c>
      <c r="F25" s="10" t="n">
        <v>50</v>
      </c>
      <c r="G25" s="10" t="n">
        <v>50</v>
      </c>
      <c r="H25" s="10" t="n">
        <v>100</v>
      </c>
      <c r="I25" s="10" t="n">
        <v>100</v>
      </c>
      <c r="J25" s="10" t="n">
        <v>100</v>
      </c>
      <c r="K25" s="10" t="n">
        <v>100</v>
      </c>
      <c r="L25" s="10" t="n">
        <v>100</v>
      </c>
      <c r="M25" s="10" t="n">
        <v>100</v>
      </c>
      <c r="N25" s="10" t="n">
        <v>200</v>
      </c>
      <c r="O25" s="10" t="n">
        <v>200</v>
      </c>
      <c r="P25" s="10" t="n">
        <v>200</v>
      </c>
      <c r="Q25" s="10" t="n">
        <v>200</v>
      </c>
      <c r="R25" s="10" t="n">
        <v>200</v>
      </c>
      <c r="S25" s="10" t="n">
        <v>200</v>
      </c>
      <c r="T25" s="10" t="n">
        <v>200</v>
      </c>
      <c r="U25" s="10" t="n">
        <v>200</v>
      </c>
      <c r="V25" s="10" t="n">
        <v>200</v>
      </c>
      <c r="W25" s="10" t="n">
        <v>200</v>
      </c>
      <c r="X25" s="10" t="n">
        <v>200</v>
      </c>
      <c r="Y25" s="10" t="n">
        <v>200</v>
      </c>
      <c r="Z25" s="9" t="n">
        <f aca="false">SUM(B25:M25)</f>
        <v>750</v>
      </c>
      <c r="AA25" s="9" t="n">
        <f aca="false">SUM(N25:Y25)</f>
        <v>2400</v>
      </c>
    </row>
    <row r="26" customFormat="false" ht="15" hidden="false" customHeight="false" outlineLevel="0" collapsed="false">
      <c r="A26" s="7" t="s">
        <v>48</v>
      </c>
      <c r="B26" s="8" t="n">
        <v>20</v>
      </c>
      <c r="C26" s="8" t="n">
        <v>20</v>
      </c>
      <c r="D26" s="8" t="n">
        <v>20</v>
      </c>
      <c r="E26" s="8" t="n">
        <v>20</v>
      </c>
      <c r="F26" s="8" t="n">
        <v>20</v>
      </c>
      <c r="G26" s="8" t="n">
        <v>20</v>
      </c>
      <c r="H26" s="8" t="n">
        <v>20</v>
      </c>
      <c r="I26" s="8" t="n">
        <v>20</v>
      </c>
      <c r="J26" s="8" t="n">
        <v>20</v>
      </c>
      <c r="K26" s="8" t="n">
        <v>20</v>
      </c>
      <c r="L26" s="8" t="n">
        <v>20</v>
      </c>
      <c r="M26" s="8" t="n">
        <v>20</v>
      </c>
      <c r="N26" s="8" t="n">
        <v>20</v>
      </c>
      <c r="O26" s="8" t="n">
        <v>20</v>
      </c>
      <c r="P26" s="8" t="n">
        <v>20</v>
      </c>
      <c r="Q26" s="8" t="n">
        <v>20</v>
      </c>
      <c r="R26" s="8" t="n">
        <v>20</v>
      </c>
      <c r="S26" s="8" t="n">
        <v>20</v>
      </c>
      <c r="T26" s="8" t="n">
        <v>20</v>
      </c>
      <c r="U26" s="8" t="n">
        <v>20</v>
      </c>
      <c r="V26" s="8" t="n">
        <v>20</v>
      </c>
      <c r="W26" s="8" t="n">
        <v>20</v>
      </c>
      <c r="X26" s="8" t="n">
        <v>20</v>
      </c>
      <c r="Y26" s="8" t="n">
        <v>20</v>
      </c>
      <c r="Z26" s="9" t="n">
        <f aca="false">SUM(B26:M26)</f>
        <v>240</v>
      </c>
      <c r="AA26" s="9" t="n">
        <f aca="false">SUM(N26:Y26)</f>
        <v>240</v>
      </c>
    </row>
    <row r="27" customFormat="false" ht="15" hidden="false" customHeight="false" outlineLevel="0" collapsed="false">
      <c r="A27" s="7" t="s">
        <v>49</v>
      </c>
      <c r="B27" s="10" t="n">
        <v>100</v>
      </c>
      <c r="C27" s="10" t="n">
        <v>100</v>
      </c>
      <c r="D27" s="10" t="n">
        <v>100</v>
      </c>
      <c r="E27" s="10" t="n">
        <v>100</v>
      </c>
      <c r="F27" s="10" t="n">
        <v>100</v>
      </c>
      <c r="G27" s="10" t="n">
        <v>100</v>
      </c>
      <c r="H27" s="10" t="n">
        <v>100</v>
      </c>
      <c r="I27" s="10" t="n">
        <v>100</v>
      </c>
      <c r="J27" s="10" t="n">
        <v>100</v>
      </c>
      <c r="K27" s="10" t="n">
        <v>100</v>
      </c>
      <c r="L27" s="10" t="n">
        <v>100</v>
      </c>
      <c r="M27" s="10" t="n">
        <v>100</v>
      </c>
      <c r="N27" s="10" t="n">
        <v>150</v>
      </c>
      <c r="O27" s="10" t="n">
        <v>150</v>
      </c>
      <c r="P27" s="10" t="n">
        <v>150</v>
      </c>
      <c r="Q27" s="10" t="n">
        <v>150</v>
      </c>
      <c r="R27" s="10" t="n">
        <v>150</v>
      </c>
      <c r="S27" s="10" t="n">
        <v>150</v>
      </c>
      <c r="T27" s="10" t="n">
        <v>150</v>
      </c>
      <c r="U27" s="10" t="n">
        <v>150</v>
      </c>
      <c r="V27" s="10" t="n">
        <v>150</v>
      </c>
      <c r="W27" s="10" t="n">
        <v>150</v>
      </c>
      <c r="X27" s="10" t="n">
        <v>150</v>
      </c>
      <c r="Y27" s="10" t="n">
        <v>150</v>
      </c>
      <c r="Z27" s="9" t="n">
        <f aca="false">SUM(B27:M27)</f>
        <v>1200</v>
      </c>
      <c r="AA27" s="9" t="n">
        <f aca="false">SUM(N27:Y27)</f>
        <v>1800</v>
      </c>
    </row>
    <row r="28" customFormat="false" ht="15" hidden="false" customHeight="false" outlineLevel="0" collapsed="false">
      <c r="A28" s="7" t="s">
        <v>50</v>
      </c>
      <c r="B28" s="8" t="n">
        <v>50</v>
      </c>
      <c r="C28" s="8" t="n">
        <v>50</v>
      </c>
      <c r="D28" s="8" t="n">
        <v>50</v>
      </c>
      <c r="E28" s="8" t="n">
        <v>50</v>
      </c>
      <c r="F28" s="8" t="n">
        <v>50</v>
      </c>
      <c r="G28" s="8" t="n">
        <v>50</v>
      </c>
      <c r="H28" s="8" t="n">
        <v>50</v>
      </c>
      <c r="I28" s="8" t="n">
        <v>50</v>
      </c>
      <c r="J28" s="8" t="n">
        <v>50</v>
      </c>
      <c r="K28" s="8" t="n">
        <v>50</v>
      </c>
      <c r="L28" s="8" t="n">
        <v>50</v>
      </c>
      <c r="M28" s="8" t="n">
        <v>50</v>
      </c>
      <c r="N28" s="8" t="n">
        <v>50</v>
      </c>
      <c r="O28" s="8" t="n">
        <v>50</v>
      </c>
      <c r="P28" s="8" t="n">
        <v>50</v>
      </c>
      <c r="Q28" s="8" t="n">
        <v>50</v>
      </c>
      <c r="R28" s="8" t="n">
        <v>50</v>
      </c>
      <c r="S28" s="8" t="n">
        <v>50</v>
      </c>
      <c r="T28" s="8" t="n">
        <v>50</v>
      </c>
      <c r="U28" s="8" t="n">
        <v>50</v>
      </c>
      <c r="V28" s="8" t="n">
        <v>50</v>
      </c>
      <c r="W28" s="8" t="n">
        <v>50</v>
      </c>
      <c r="X28" s="8" t="n">
        <v>50</v>
      </c>
      <c r="Y28" s="8" t="n">
        <v>50</v>
      </c>
      <c r="Z28" s="9" t="n">
        <f aca="false">SUM(B28:M28)</f>
        <v>600</v>
      </c>
      <c r="AA28" s="9" t="n">
        <f aca="false">SUM(N28:Y28)</f>
        <v>600</v>
      </c>
    </row>
    <row r="29" customFormat="false" ht="15" hidden="false" customHeight="false" outlineLevel="0" collapsed="false">
      <c r="A29" s="11" t="s">
        <v>51</v>
      </c>
      <c r="B29" s="12" t="n">
        <f aca="false">B22+B23+B24+B25+B26+B27+B28</f>
        <v>265</v>
      </c>
      <c r="C29" s="12" t="n">
        <f aca="false">C22+C23+C24+C25+C26+C27+C28</f>
        <v>215</v>
      </c>
      <c r="D29" s="12" t="n">
        <f aca="false">D22+D23+D24+D25+D26+D27+D28</f>
        <v>215</v>
      </c>
      <c r="E29" s="12" t="n">
        <f aca="false">E22+E23+E24+E25+E26+E27+E28</f>
        <v>265</v>
      </c>
      <c r="F29" s="12" t="n">
        <f aca="false">F22+F23+F24+F25+F26+F27+F28</f>
        <v>265</v>
      </c>
      <c r="G29" s="12" t="n">
        <f aca="false">G22+G23+G24+G25+G26+G27+G28</f>
        <v>265</v>
      </c>
      <c r="H29" s="12" t="n">
        <f aca="false">H22+H23+H24+H25+H26+H27+H28</f>
        <v>315</v>
      </c>
      <c r="I29" s="12" t="n">
        <f aca="false">I22+I23+I24+I25+I26+I27+I28</f>
        <v>315</v>
      </c>
      <c r="J29" s="12" t="n">
        <f aca="false">J22+J23+J24+J25+J26+J27+J28</f>
        <v>315</v>
      </c>
      <c r="K29" s="12" t="n">
        <f aca="false">K22+K23+K24+K25+K26+K27+K28</f>
        <v>315</v>
      </c>
      <c r="L29" s="12" t="n">
        <f aca="false">L22+L23+L24+L25+L26+L27+L28</f>
        <v>315</v>
      </c>
      <c r="M29" s="12" t="n">
        <f aca="false">M22+M23+M24+M25+M26+M27+M28</f>
        <v>315</v>
      </c>
      <c r="N29" s="12" t="n">
        <f aca="false">N22+N23+N24+N25+N26+N27+N28</f>
        <v>515</v>
      </c>
      <c r="O29" s="12" t="n">
        <f aca="false">O22+O23+O24+O25+O26+O27+O28</f>
        <v>465</v>
      </c>
      <c r="P29" s="12" t="n">
        <f aca="false">P22+P23+P24+P25+P26+P27+P28</f>
        <v>465</v>
      </c>
      <c r="Q29" s="12" t="n">
        <f aca="false">Q22+Q23+Q24+Q25+Q26+Q27+Q28</f>
        <v>465</v>
      </c>
      <c r="R29" s="12" t="n">
        <f aca="false">R22+R23+R24+R25+R26+R27+R28</f>
        <v>465</v>
      </c>
      <c r="S29" s="12" t="n">
        <f aca="false">S22+S23+S24+S25+S26+S27+S28</f>
        <v>465</v>
      </c>
      <c r="T29" s="12" t="n">
        <f aca="false">T22+T23+T24+T25+T26+T27+T28</f>
        <v>465</v>
      </c>
      <c r="U29" s="12" t="n">
        <f aca="false">U22+U23+U24+U25+U26+U27+U28</f>
        <v>465</v>
      </c>
      <c r="V29" s="12" t="n">
        <f aca="false">V22+V23+V24+V25+V26+V27+V28</f>
        <v>465</v>
      </c>
      <c r="W29" s="12" t="n">
        <f aca="false">W22+W23+W24+W25+W26+W27+W28</f>
        <v>465</v>
      </c>
      <c r="X29" s="12" t="n">
        <f aca="false">X22+X23+X24+X25+X26+X27+X28</f>
        <v>465</v>
      </c>
      <c r="Y29" s="12" t="n">
        <f aca="false">Y22+Y23+Y24+Y25+Y26+Y27+Y28</f>
        <v>465</v>
      </c>
      <c r="Z29" s="12" t="n">
        <f aca="false">Z22+Z23+Z24+Z25+Z26+Z27+Z28</f>
        <v>3380</v>
      </c>
      <c r="AA29" s="12" t="n">
        <f aca="false">AA22+AA23+AA24+AA25+AA26+AA27+AA28</f>
        <v>5630</v>
      </c>
    </row>
    <row r="31" customFormat="false" ht="15" hidden="false" customHeight="false" outlineLevel="0" collapsed="false">
      <c r="A31" s="5" t="s">
        <v>52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customFormat="false" ht="15" hidden="false" customHeight="false" outlineLevel="0" collapsed="false">
      <c r="A32" s="7" t="s">
        <v>53</v>
      </c>
      <c r="B32" s="8" t="n">
        <v>300</v>
      </c>
      <c r="C32" s="8" t="n">
        <v>300</v>
      </c>
      <c r="D32" s="8" t="n">
        <v>300</v>
      </c>
      <c r="E32" s="8" t="n">
        <v>300</v>
      </c>
      <c r="F32" s="8" t="n">
        <v>300</v>
      </c>
      <c r="G32" s="8" t="n">
        <v>300</v>
      </c>
      <c r="H32" s="8" t="n">
        <v>300</v>
      </c>
      <c r="I32" s="8" t="n">
        <v>300</v>
      </c>
      <c r="J32" s="8" t="n">
        <v>300</v>
      </c>
      <c r="K32" s="8" t="n">
        <v>300</v>
      </c>
      <c r="L32" s="8" t="n">
        <v>300</v>
      </c>
      <c r="M32" s="8" t="n">
        <v>300</v>
      </c>
      <c r="N32" s="8" t="n">
        <v>300</v>
      </c>
      <c r="O32" s="8" t="n">
        <v>300</v>
      </c>
      <c r="P32" s="8" t="n">
        <v>300</v>
      </c>
      <c r="Q32" s="8" t="n">
        <v>300</v>
      </c>
      <c r="R32" s="8" t="n">
        <v>300</v>
      </c>
      <c r="S32" s="8" t="n">
        <v>300</v>
      </c>
      <c r="T32" s="8" t="n">
        <v>300</v>
      </c>
      <c r="U32" s="8" t="n">
        <v>300</v>
      </c>
      <c r="V32" s="8" t="n">
        <v>300</v>
      </c>
      <c r="W32" s="8" t="n">
        <v>300</v>
      </c>
      <c r="X32" s="8" t="n">
        <v>300</v>
      </c>
      <c r="Y32" s="8" t="n">
        <v>300</v>
      </c>
      <c r="Z32" s="9" t="n">
        <f aca="false">SUM(B32:M32)</f>
        <v>3600</v>
      </c>
      <c r="AA32" s="9" t="n">
        <f aca="false">SUM(N32:Y32)</f>
        <v>3600</v>
      </c>
    </row>
    <row r="33" customFormat="false" ht="15" hidden="false" customHeight="false" outlineLevel="0" collapsed="false">
      <c r="A33" s="7" t="s">
        <v>54</v>
      </c>
      <c r="B33" s="10" t="n">
        <v>0</v>
      </c>
      <c r="C33" s="10" t="n">
        <v>0</v>
      </c>
      <c r="D33" s="10" t="n">
        <v>200</v>
      </c>
      <c r="E33" s="10" t="n">
        <v>200</v>
      </c>
      <c r="F33" s="10" t="n">
        <v>200</v>
      </c>
      <c r="G33" s="10" t="n">
        <v>200</v>
      </c>
      <c r="H33" s="10" t="n">
        <v>200</v>
      </c>
      <c r="I33" s="10" t="n">
        <v>200</v>
      </c>
      <c r="J33" s="10" t="n">
        <v>200</v>
      </c>
      <c r="K33" s="10" t="n">
        <v>200</v>
      </c>
      <c r="L33" s="10" t="n">
        <v>200</v>
      </c>
      <c r="M33" s="10" t="n">
        <v>200</v>
      </c>
      <c r="N33" s="10" t="n">
        <v>200</v>
      </c>
      <c r="O33" s="10" t="n">
        <v>200</v>
      </c>
      <c r="P33" s="10" t="n">
        <v>200</v>
      </c>
      <c r="Q33" s="10" t="n">
        <v>200</v>
      </c>
      <c r="R33" s="10" t="n">
        <v>200</v>
      </c>
      <c r="S33" s="10" t="n">
        <v>200</v>
      </c>
      <c r="T33" s="10" t="n">
        <v>200</v>
      </c>
      <c r="U33" s="10" t="n">
        <v>200</v>
      </c>
      <c r="V33" s="10" t="n">
        <v>200</v>
      </c>
      <c r="W33" s="10" t="n">
        <v>200</v>
      </c>
      <c r="X33" s="10" t="n">
        <v>200</v>
      </c>
      <c r="Y33" s="10" t="n">
        <v>200</v>
      </c>
      <c r="Z33" s="9" t="n">
        <f aca="false">SUM(B33:M33)</f>
        <v>2000</v>
      </c>
      <c r="AA33" s="9" t="n">
        <f aca="false">SUM(N33:Y33)</f>
        <v>2400</v>
      </c>
    </row>
    <row r="34" customFormat="false" ht="15" hidden="false" customHeight="false" outlineLevel="0" collapsed="false">
      <c r="A34" s="7" t="s">
        <v>55</v>
      </c>
      <c r="B34" s="8" t="n">
        <v>2000</v>
      </c>
      <c r="C34" s="8" t="n">
        <v>500</v>
      </c>
      <c r="D34" s="8" t="n">
        <v>500</v>
      </c>
      <c r="E34" s="8" t="n">
        <v>500</v>
      </c>
      <c r="F34" s="8" t="n">
        <v>500</v>
      </c>
      <c r="G34" s="8" t="n">
        <v>500</v>
      </c>
      <c r="H34" s="8" t="n">
        <v>300</v>
      </c>
      <c r="I34" s="8" t="n">
        <v>300</v>
      </c>
      <c r="J34" s="8" t="n">
        <v>300</v>
      </c>
      <c r="K34" s="8" t="n">
        <v>300</v>
      </c>
      <c r="L34" s="8" t="n">
        <v>300</v>
      </c>
      <c r="M34" s="8" t="n">
        <v>300</v>
      </c>
      <c r="N34" s="8" t="n">
        <v>400</v>
      </c>
      <c r="O34" s="8" t="n">
        <v>400</v>
      </c>
      <c r="P34" s="8" t="n">
        <v>400</v>
      </c>
      <c r="Q34" s="8" t="n">
        <v>400</v>
      </c>
      <c r="R34" s="8" t="n">
        <v>400</v>
      </c>
      <c r="S34" s="8" t="n">
        <v>400</v>
      </c>
      <c r="T34" s="8" t="n">
        <v>400</v>
      </c>
      <c r="U34" s="8" t="n">
        <v>400</v>
      </c>
      <c r="V34" s="8" t="n">
        <v>400</v>
      </c>
      <c r="W34" s="8" t="n">
        <v>400</v>
      </c>
      <c r="X34" s="8" t="n">
        <v>400</v>
      </c>
      <c r="Y34" s="8" t="n">
        <v>400</v>
      </c>
      <c r="Z34" s="9" t="n">
        <f aca="false">SUM(B34:M34)</f>
        <v>6300</v>
      </c>
      <c r="AA34" s="9" t="n">
        <f aca="false">SUM(N34:Y34)</f>
        <v>4800</v>
      </c>
    </row>
    <row r="35" customFormat="false" ht="15" hidden="false" customHeight="false" outlineLevel="0" collapsed="false">
      <c r="A35" s="7" t="s">
        <v>56</v>
      </c>
      <c r="B35" s="10" t="n">
        <v>250</v>
      </c>
      <c r="C35" s="10" t="n">
        <v>250</v>
      </c>
      <c r="D35" s="10" t="n">
        <v>250</v>
      </c>
      <c r="E35" s="10" t="n">
        <v>250</v>
      </c>
      <c r="F35" s="10" t="n">
        <v>250</v>
      </c>
      <c r="G35" s="10" t="n">
        <v>250</v>
      </c>
      <c r="H35" s="10" t="n">
        <v>250</v>
      </c>
      <c r="I35" s="10" t="n">
        <v>250</v>
      </c>
      <c r="J35" s="10" t="n">
        <v>250</v>
      </c>
      <c r="K35" s="10" t="n">
        <v>250</v>
      </c>
      <c r="L35" s="10" t="n">
        <v>250</v>
      </c>
      <c r="M35" s="10" t="n">
        <v>250</v>
      </c>
      <c r="N35" s="10" t="n">
        <v>250</v>
      </c>
      <c r="O35" s="10" t="n">
        <v>250</v>
      </c>
      <c r="P35" s="10" t="n">
        <v>250</v>
      </c>
      <c r="Q35" s="10" t="n">
        <v>250</v>
      </c>
      <c r="R35" s="10" t="n">
        <v>250</v>
      </c>
      <c r="S35" s="10" t="n">
        <v>250</v>
      </c>
      <c r="T35" s="10" t="n">
        <v>250</v>
      </c>
      <c r="U35" s="10" t="n">
        <v>250</v>
      </c>
      <c r="V35" s="10" t="n">
        <v>250</v>
      </c>
      <c r="W35" s="10" t="n">
        <v>250</v>
      </c>
      <c r="X35" s="10" t="n">
        <v>250</v>
      </c>
      <c r="Y35" s="10" t="n">
        <v>250</v>
      </c>
      <c r="Z35" s="9" t="n">
        <f aca="false">SUM(B35:M35)</f>
        <v>3000</v>
      </c>
      <c r="AA35" s="9" t="n">
        <f aca="false">SUM(N35:Y35)</f>
        <v>3000</v>
      </c>
    </row>
    <row r="36" customFormat="false" ht="15" hidden="false" customHeight="false" outlineLevel="0" collapsed="false">
      <c r="A36" s="11" t="s">
        <v>57</v>
      </c>
      <c r="B36" s="12" t="n">
        <f aca="false">B32+B33+B34+B35</f>
        <v>2550</v>
      </c>
      <c r="C36" s="12" t="n">
        <f aca="false">C32+C33+C34+C35</f>
        <v>1050</v>
      </c>
      <c r="D36" s="12" t="n">
        <f aca="false">D32+D33+D34+D35</f>
        <v>1250</v>
      </c>
      <c r="E36" s="12" t="n">
        <f aca="false">E32+E33+E34+E35</f>
        <v>1250</v>
      </c>
      <c r="F36" s="12" t="n">
        <f aca="false">F32+F33+F34+F35</f>
        <v>1250</v>
      </c>
      <c r="G36" s="12" t="n">
        <f aca="false">G32+G33+G34+G35</f>
        <v>1250</v>
      </c>
      <c r="H36" s="12" t="n">
        <f aca="false">H32+H33+H34+H35</f>
        <v>1050</v>
      </c>
      <c r="I36" s="12" t="n">
        <f aca="false">I32+I33+I34+I35</f>
        <v>1050</v>
      </c>
      <c r="J36" s="12" t="n">
        <f aca="false">J32+J33+J34+J35</f>
        <v>1050</v>
      </c>
      <c r="K36" s="12" t="n">
        <f aca="false">K32+K33+K34+K35</f>
        <v>1050</v>
      </c>
      <c r="L36" s="12" t="n">
        <f aca="false">L32+L33+L34+L35</f>
        <v>1050</v>
      </c>
      <c r="M36" s="12" t="n">
        <f aca="false">M32+M33+M34+M35</f>
        <v>1050</v>
      </c>
      <c r="N36" s="12" t="n">
        <f aca="false">N32+N33+N34+N35</f>
        <v>1150</v>
      </c>
      <c r="O36" s="12" t="n">
        <f aca="false">O32+O33+O34+O35</f>
        <v>1150</v>
      </c>
      <c r="P36" s="12" t="n">
        <f aca="false">P32+P33+P34+P35</f>
        <v>1150</v>
      </c>
      <c r="Q36" s="12" t="n">
        <f aca="false">Q32+Q33+Q34+Q35</f>
        <v>1150</v>
      </c>
      <c r="R36" s="12" t="n">
        <f aca="false">R32+R33+R34+R35</f>
        <v>1150</v>
      </c>
      <c r="S36" s="12" t="n">
        <f aca="false">S32+S33+S34+S35</f>
        <v>1150</v>
      </c>
      <c r="T36" s="12" t="n">
        <f aca="false">T32+T33+T34+T35</f>
        <v>1150</v>
      </c>
      <c r="U36" s="12" t="n">
        <f aca="false">U32+U33+U34+U35</f>
        <v>1150</v>
      </c>
      <c r="V36" s="12" t="n">
        <f aca="false">V32+V33+V34+V35</f>
        <v>1150</v>
      </c>
      <c r="W36" s="12" t="n">
        <f aca="false">W32+W33+W34+W35</f>
        <v>1150</v>
      </c>
      <c r="X36" s="12" t="n">
        <f aca="false">X32+X33+X34+X35</f>
        <v>1150</v>
      </c>
      <c r="Y36" s="12" t="n">
        <f aca="false">Y32+Y33+Y34+Y35</f>
        <v>1150</v>
      </c>
      <c r="Z36" s="12" t="n">
        <f aca="false">Z32+Z33+Z34+Z35</f>
        <v>14900</v>
      </c>
      <c r="AA36" s="12" t="n">
        <f aca="false">AA32+AA33+AA34+AA35</f>
        <v>13800</v>
      </c>
    </row>
    <row r="38" customFormat="false" ht="15" hidden="false" customHeight="false" outlineLevel="0" collapsed="false">
      <c r="A38" s="5" t="s">
        <v>58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customFormat="false" ht="15" hidden="false" customHeight="false" outlineLevel="0" collapsed="false">
      <c r="A39" s="7" t="s">
        <v>59</v>
      </c>
      <c r="B39" s="10" t="n">
        <v>300</v>
      </c>
      <c r="C39" s="10" t="n">
        <v>300</v>
      </c>
      <c r="D39" s="10" t="n">
        <v>300</v>
      </c>
      <c r="E39" s="10" t="n">
        <v>300</v>
      </c>
      <c r="F39" s="10" t="n">
        <v>300</v>
      </c>
      <c r="G39" s="10" t="n">
        <v>300</v>
      </c>
      <c r="H39" s="10" t="n">
        <v>300</v>
      </c>
      <c r="I39" s="10" t="n">
        <v>300</v>
      </c>
      <c r="J39" s="10" t="n">
        <v>300</v>
      </c>
      <c r="K39" s="10" t="n">
        <v>300</v>
      </c>
      <c r="L39" s="10" t="n">
        <v>300</v>
      </c>
      <c r="M39" s="10" t="n">
        <v>300</v>
      </c>
      <c r="N39" s="10" t="n">
        <v>300</v>
      </c>
      <c r="O39" s="10" t="n">
        <v>300</v>
      </c>
      <c r="P39" s="10" t="n">
        <v>300</v>
      </c>
      <c r="Q39" s="10" t="n">
        <v>300</v>
      </c>
      <c r="R39" s="10" t="n">
        <v>300</v>
      </c>
      <c r="S39" s="10" t="n">
        <v>300</v>
      </c>
      <c r="T39" s="10" t="n">
        <v>300</v>
      </c>
      <c r="U39" s="10" t="n">
        <v>300</v>
      </c>
      <c r="V39" s="10" t="n">
        <v>300</v>
      </c>
      <c r="W39" s="10" t="n">
        <v>300</v>
      </c>
      <c r="X39" s="10" t="n">
        <v>300</v>
      </c>
      <c r="Y39" s="10" t="n">
        <v>300</v>
      </c>
      <c r="Z39" s="9" t="n">
        <f aca="false">SUM(B39:M39)</f>
        <v>3600</v>
      </c>
      <c r="AA39" s="9" t="n">
        <f aca="false">SUM(N39:Y39)</f>
        <v>3600</v>
      </c>
    </row>
    <row r="40" customFormat="false" ht="15" hidden="false" customHeight="false" outlineLevel="0" collapsed="false">
      <c r="A40" s="7" t="s">
        <v>60</v>
      </c>
      <c r="B40" s="8" t="n">
        <v>40</v>
      </c>
      <c r="C40" s="8" t="n">
        <v>40</v>
      </c>
      <c r="D40" s="8" t="n">
        <v>40</v>
      </c>
      <c r="E40" s="8" t="n">
        <v>40</v>
      </c>
      <c r="F40" s="8" t="n">
        <v>40</v>
      </c>
      <c r="G40" s="8" t="n">
        <v>40</v>
      </c>
      <c r="H40" s="8" t="n">
        <v>40</v>
      </c>
      <c r="I40" s="8" t="n">
        <v>40</v>
      </c>
      <c r="J40" s="8" t="n">
        <v>40</v>
      </c>
      <c r="K40" s="8" t="n">
        <v>40</v>
      </c>
      <c r="L40" s="8" t="n">
        <v>40</v>
      </c>
      <c r="M40" s="8" t="n">
        <v>40</v>
      </c>
      <c r="N40" s="8" t="n">
        <v>40</v>
      </c>
      <c r="O40" s="8" t="n">
        <v>40</v>
      </c>
      <c r="P40" s="8" t="n">
        <v>40</v>
      </c>
      <c r="Q40" s="8" t="n">
        <v>40</v>
      </c>
      <c r="R40" s="8" t="n">
        <v>40</v>
      </c>
      <c r="S40" s="8" t="n">
        <v>40</v>
      </c>
      <c r="T40" s="8" t="n">
        <v>40</v>
      </c>
      <c r="U40" s="8" t="n">
        <v>40</v>
      </c>
      <c r="V40" s="8" t="n">
        <v>40</v>
      </c>
      <c r="W40" s="8" t="n">
        <v>40</v>
      </c>
      <c r="X40" s="8" t="n">
        <v>40</v>
      </c>
      <c r="Y40" s="8" t="n">
        <v>40</v>
      </c>
      <c r="Z40" s="9" t="n">
        <f aca="false">SUM(B40:M40)</f>
        <v>480</v>
      </c>
      <c r="AA40" s="9" t="n">
        <f aca="false">SUM(N40:Y40)</f>
        <v>480</v>
      </c>
    </row>
    <row r="41" customFormat="false" ht="15" hidden="false" customHeight="false" outlineLevel="0" collapsed="false">
      <c r="A41" s="7" t="s">
        <v>61</v>
      </c>
      <c r="B41" s="10" t="n">
        <v>50</v>
      </c>
      <c r="C41" s="10" t="n">
        <v>50</v>
      </c>
      <c r="D41" s="10" t="n">
        <v>50</v>
      </c>
      <c r="E41" s="10" t="n">
        <v>50</v>
      </c>
      <c r="F41" s="10" t="n">
        <v>50</v>
      </c>
      <c r="G41" s="10" t="n">
        <v>50</v>
      </c>
      <c r="H41" s="10" t="n">
        <v>50</v>
      </c>
      <c r="I41" s="10" t="n">
        <v>50</v>
      </c>
      <c r="J41" s="10" t="n">
        <v>50</v>
      </c>
      <c r="K41" s="10" t="n">
        <v>50</v>
      </c>
      <c r="L41" s="10" t="n">
        <v>50</v>
      </c>
      <c r="M41" s="10" t="n">
        <v>50</v>
      </c>
      <c r="N41" s="10" t="n">
        <v>50</v>
      </c>
      <c r="O41" s="10" t="n">
        <v>50</v>
      </c>
      <c r="P41" s="10" t="n">
        <v>50</v>
      </c>
      <c r="Q41" s="10" t="n">
        <v>50</v>
      </c>
      <c r="R41" s="10" t="n">
        <v>50</v>
      </c>
      <c r="S41" s="10" t="n">
        <v>50</v>
      </c>
      <c r="T41" s="10" t="n">
        <v>50</v>
      </c>
      <c r="U41" s="10" t="n">
        <v>50</v>
      </c>
      <c r="V41" s="10" t="n">
        <v>50</v>
      </c>
      <c r="W41" s="10" t="n">
        <v>50</v>
      </c>
      <c r="X41" s="10" t="n">
        <v>50</v>
      </c>
      <c r="Y41" s="10" t="n">
        <v>50</v>
      </c>
      <c r="Z41" s="9" t="n">
        <f aca="false">SUM(B41:M41)</f>
        <v>600</v>
      </c>
      <c r="AA41" s="9" t="n">
        <f aca="false">SUM(N41:Y41)</f>
        <v>600</v>
      </c>
    </row>
    <row r="42" customFormat="false" ht="15" hidden="false" customHeight="false" outlineLevel="0" collapsed="false">
      <c r="A42" s="7" t="s">
        <v>62</v>
      </c>
      <c r="B42" s="8" t="n">
        <v>100</v>
      </c>
      <c r="C42" s="8" t="n">
        <v>100</v>
      </c>
      <c r="D42" s="8" t="n">
        <v>100</v>
      </c>
      <c r="E42" s="8" t="n">
        <v>100</v>
      </c>
      <c r="F42" s="8" t="n">
        <v>100</v>
      </c>
      <c r="G42" s="8" t="n">
        <v>100</v>
      </c>
      <c r="H42" s="8" t="n">
        <v>100</v>
      </c>
      <c r="I42" s="8" t="n">
        <v>100</v>
      </c>
      <c r="J42" s="8" t="n">
        <v>100</v>
      </c>
      <c r="K42" s="8" t="n">
        <v>100</v>
      </c>
      <c r="L42" s="8" t="n">
        <v>100</v>
      </c>
      <c r="M42" s="8" t="n">
        <v>100</v>
      </c>
      <c r="N42" s="8" t="n">
        <v>100</v>
      </c>
      <c r="O42" s="8" t="n">
        <v>100</v>
      </c>
      <c r="P42" s="8" t="n">
        <v>100</v>
      </c>
      <c r="Q42" s="8" t="n">
        <v>100</v>
      </c>
      <c r="R42" s="8" t="n">
        <v>100</v>
      </c>
      <c r="S42" s="8" t="n">
        <v>100</v>
      </c>
      <c r="T42" s="8" t="n">
        <v>100</v>
      </c>
      <c r="U42" s="8" t="n">
        <v>100</v>
      </c>
      <c r="V42" s="8" t="n">
        <v>100</v>
      </c>
      <c r="W42" s="8" t="n">
        <v>100</v>
      </c>
      <c r="X42" s="8" t="n">
        <v>100</v>
      </c>
      <c r="Y42" s="8" t="n">
        <v>100</v>
      </c>
      <c r="Z42" s="9" t="n">
        <f aca="false">SUM(B42:M42)</f>
        <v>1200</v>
      </c>
      <c r="AA42" s="9" t="n">
        <f aca="false">SUM(N42:Y42)</f>
        <v>1200</v>
      </c>
    </row>
    <row r="43" customFormat="false" ht="15" hidden="false" customHeight="false" outlineLevel="0" collapsed="false">
      <c r="A43" s="7" t="s">
        <v>63</v>
      </c>
      <c r="B43" s="10" t="n">
        <v>100</v>
      </c>
      <c r="C43" s="10" t="n">
        <v>100</v>
      </c>
      <c r="D43" s="10" t="n">
        <v>100</v>
      </c>
      <c r="E43" s="10" t="n">
        <v>100</v>
      </c>
      <c r="F43" s="10" t="n">
        <v>100</v>
      </c>
      <c r="G43" s="10" t="n">
        <v>100</v>
      </c>
      <c r="H43" s="10" t="n">
        <v>100</v>
      </c>
      <c r="I43" s="10" t="n">
        <v>100</v>
      </c>
      <c r="J43" s="10" t="n">
        <v>100</v>
      </c>
      <c r="K43" s="10" t="n">
        <v>100</v>
      </c>
      <c r="L43" s="10" t="n">
        <v>100</v>
      </c>
      <c r="M43" s="10" t="n">
        <v>100</v>
      </c>
      <c r="N43" s="10" t="n">
        <v>200</v>
      </c>
      <c r="O43" s="10" t="n">
        <v>200</v>
      </c>
      <c r="P43" s="10" t="n">
        <v>200</v>
      </c>
      <c r="Q43" s="10" t="n">
        <v>200</v>
      </c>
      <c r="R43" s="10" t="n">
        <v>200</v>
      </c>
      <c r="S43" s="10" t="n">
        <v>200</v>
      </c>
      <c r="T43" s="10" t="n">
        <v>200</v>
      </c>
      <c r="U43" s="10" t="n">
        <v>200</v>
      </c>
      <c r="V43" s="10" t="n">
        <v>200</v>
      </c>
      <c r="W43" s="10" t="n">
        <v>200</v>
      </c>
      <c r="X43" s="10" t="n">
        <v>200</v>
      </c>
      <c r="Y43" s="10" t="n">
        <v>200</v>
      </c>
      <c r="Z43" s="9" t="n">
        <f aca="false">SUM(B43:M43)</f>
        <v>1200</v>
      </c>
      <c r="AA43" s="9" t="n">
        <f aca="false">SUM(N43:Y43)</f>
        <v>2400</v>
      </c>
    </row>
    <row r="44" customFormat="false" ht="15" hidden="false" customHeight="false" outlineLevel="0" collapsed="false">
      <c r="A44" s="7" t="s">
        <v>64</v>
      </c>
      <c r="B44" s="13" t="n">
        <f aca="false">(B6+B7+B8+B9+B13+B14+B15+B16+B17+B18+B22+B23+B24+B25+B26+B27+B28+B32+B33+B34+B35+B39+B40+B41+B42+B43)*0.05</f>
        <v>620.25</v>
      </c>
      <c r="C44" s="13" t="n">
        <f aca="false">(C6+C7+C8+C9+C13+C14+C15+C16+C17+C18+C22+C23+C24+C25+C26+C27+C28+C32+C33+C34+C35+C39+C40+C41+C42+C43)*0.05</f>
        <v>367.75</v>
      </c>
      <c r="D44" s="13" t="n">
        <f aca="false">(D6+D7+D8+D9+D13+D14+D15+D16+D17+D18+D22+D23+D24+D25+D26+D27+D28+D32+D33+D34+D35+D39+D40+D41+D42+D43)*0.05</f>
        <v>662.75</v>
      </c>
      <c r="E44" s="13" t="n">
        <f aca="false">(E6+E7+E8+E9+E13+E14+E15+E16+E17+E18+E22+E23+E24+E25+E26+E27+E28+E32+E33+E34+E35+E39+E40+E41+E42+E43)*0.05</f>
        <v>775.25</v>
      </c>
      <c r="F44" s="13" t="n">
        <f aca="false">(F6+F7+F8+F9+F13+F14+F15+F16+F17+F18+F22+F23+F24+F25+F26+F27+F28+F32+F33+F34+F35+F39+F40+F41+F42+F43)*0.05</f>
        <v>775.25</v>
      </c>
      <c r="G44" s="13" t="n">
        <f aca="false">(G6+G7+G8+G9+G13+G14+G15+G16+G17+G18+G22+G23+G24+G25+G26+G27+G28+G32+G33+G34+G35+G39+G40+G41+G42+G43)*0.05</f>
        <v>875.25</v>
      </c>
      <c r="H44" s="13" t="n">
        <f aca="false">(H6+H7+H8+H9+H13+H14+H15+H16+H17+H18+H22+H23+H24+H25+H26+H27+H28+H32+H33+H34+H35+H39+H40+H41+H42+H43)*0.05</f>
        <v>897.75</v>
      </c>
      <c r="I44" s="13" t="n">
        <f aca="false">(I6+I7+I8+I9+I13+I14+I15+I16+I17+I18+I22+I23+I24+I25+I26+I27+I28+I32+I33+I34+I35+I39+I40+I41+I42+I43)*0.05</f>
        <v>897.75</v>
      </c>
      <c r="J44" s="13" t="n">
        <f aca="false">(J6+J7+J8+J9+J13+J14+J15+J16+J17+J18+J22+J23+J24+J25+J26+J27+J28+J32+J33+J34+J35+J39+J40+J41+J42+J43)*0.05</f>
        <v>897.75</v>
      </c>
      <c r="K44" s="13" t="n">
        <f aca="false">(K6+K7+K8+K9+K13+K14+K15+K16+K17+K18+K22+K23+K24+K25+K26+K27+K28+K32+K33+K34+K35+K39+K40+K41+K42+K43)*0.05</f>
        <v>897.75</v>
      </c>
      <c r="L44" s="13" t="n">
        <f aca="false">(L6+L7+L8+L9+L13+L14+L15+L16+L17+L18+L22+L23+L24+L25+L26+L27+L28+L32+L33+L34+L35+L39+L40+L41+L42+L43)*0.05</f>
        <v>897.75</v>
      </c>
      <c r="M44" s="13" t="n">
        <f aca="false">(M6+M7+M8+M9+M13+M14+M15+M16+M17+M18+M22+M23+M24+M25+M26+M27+M28+M32+M33+M34+M35+M39+M40+M41+M42+M43)*0.05</f>
        <v>997.75</v>
      </c>
      <c r="N44" s="13" t="n">
        <f aca="false">(N6+N7+N8+N9+N13+N14+N15+N16+N17+N18+N22+N23+N24+N25+N26+N27+N28+N32+N33+N34+N35+N39+N40+N41+N42+N43)*0.05</f>
        <v>1152.75</v>
      </c>
      <c r="O44" s="13" t="n">
        <f aca="false">(O6+O7+O8+O9+O13+O14+O15+O16+O17+O18+O22+O23+O24+O25+O26+O27+O28+O32+O33+O34+O35+O39+O40+O41+O42+O43)*0.05</f>
        <v>1150.25</v>
      </c>
      <c r="P44" s="13" t="n">
        <f aca="false">(P6+P7+P8+P9+P13+P14+P15+P16+P17+P18+P22+P23+P24+P25+P26+P27+P28+P32+P33+P34+P35+P39+P40+P41+P42+P43)*0.05</f>
        <v>1150.25</v>
      </c>
      <c r="Q44" s="13" t="n">
        <f aca="false">(Q6+Q7+Q8+Q9+Q13+Q14+Q15+Q16+Q17+Q18+Q22+Q23+Q24+Q25+Q26+Q27+Q28+Q32+Q33+Q34+Q35+Q39+Q40+Q41+Q42+Q43)*0.05</f>
        <v>1150.25</v>
      </c>
      <c r="R44" s="13" t="n">
        <f aca="false">(R6+R7+R8+R9+R13+R14+R15+R16+R17+R18+R22+R23+R24+R25+R26+R27+R28+R32+R33+R34+R35+R39+R40+R41+R42+R43)*0.05</f>
        <v>1150.25</v>
      </c>
      <c r="S44" s="13" t="n">
        <f aca="false">(S6+S7+S8+S9+S13+S14+S15+S16+S17+S18+S22+S23+S24+S25+S26+S27+S28+S32+S33+S34+S35+S39+S40+S41+S42+S43)*0.05</f>
        <v>1150.25</v>
      </c>
      <c r="T44" s="13" t="n">
        <f aca="false">(T6+T7+T8+T9+T13+T14+T15+T16+T17+T18+T22+T23+T24+T25+T26+T27+T28+T32+T33+T34+T35+T39+T40+T41+T42+T43)*0.05</f>
        <v>1125.25</v>
      </c>
      <c r="U44" s="13" t="n">
        <f aca="false">(U6+U7+U8+U9+U13+U14+U15+U16+U17+U18+U22+U23+U24+U25+U26+U27+U28+U32+U33+U34+U35+U39+U40+U41+U42+U43)*0.05</f>
        <v>1125.25</v>
      </c>
      <c r="V44" s="13" t="n">
        <f aca="false">(V6+V7+V8+V9+V13+V14+V15+V16+V17+V18+V22+V23+V24+V25+V26+V27+V28+V32+V33+V34+V35+V39+V40+V41+V42+V43)*0.05</f>
        <v>1125.25</v>
      </c>
      <c r="W44" s="13" t="n">
        <f aca="false">(W6+W7+W8+W9+W13+W14+W15+W16+W17+W18+W22+W23+W24+W25+W26+W27+W28+W32+W33+W34+W35+W39+W40+W41+W42+W43)*0.05</f>
        <v>1200.25</v>
      </c>
      <c r="X44" s="13" t="n">
        <f aca="false">(X6+X7+X8+X9+X13+X14+X15+X16+X17+X18+X22+X23+X24+X25+X26+X27+X28+X32+X33+X34+X35+X39+X40+X41+X42+X43)*0.05</f>
        <v>1125.25</v>
      </c>
      <c r="Y44" s="13" t="n">
        <f aca="false">(Y6+Y7+Y8+Y9+Y13+Y14+Y15+Y16+Y17+Y18+Y22+Y23+Y24+Y25+Y26+Y27+Y28+Y32+Y33+Y34+Y35+Y39+Y40+Y41+Y42+Y43)*0.05</f>
        <v>1200.25</v>
      </c>
      <c r="Z44" s="13" t="n">
        <f aca="false">(Z6+Z7+Z8+Z9+Z13+Z14+Z15+Z16+Z17+Z18+Z22+Z23+Z24+Z25+Z26+Z27+Z28+Z32+Z33+Z34+Z35+Z39+Z40+Z41+Z42+Z43)*0.05</f>
        <v>9563</v>
      </c>
      <c r="AA44" s="13" t="n">
        <f aca="false">(AA6+AA7+AA8+AA9+AA13+AA14+AA15+AA16+AA17+AA18+AA22+AA23+AA24+AA25+AA26+AA27+AA28+AA32+AA33+AA34+AA35+AA39+AA40+AA41+AA42+AA43)*0.05</f>
        <v>13805.5</v>
      </c>
    </row>
    <row r="45" customFormat="false" ht="15" hidden="false" customHeight="false" outlineLevel="0" collapsed="false">
      <c r="A45" s="11" t="s">
        <v>65</v>
      </c>
      <c r="B45" s="12" t="n">
        <f aca="false">B39+B40+B41+B42+B43+B44</f>
        <v>1210.25</v>
      </c>
      <c r="C45" s="12" t="n">
        <f aca="false">C39+C40+C41+C42+C43+C44</f>
        <v>957.75</v>
      </c>
      <c r="D45" s="12" t="n">
        <f aca="false">D39+D40+D41+D42+D43+D44</f>
        <v>1252.75</v>
      </c>
      <c r="E45" s="12" t="n">
        <f aca="false">E39+E40+E41+E42+E43+E44</f>
        <v>1365.25</v>
      </c>
      <c r="F45" s="12" t="n">
        <f aca="false">F39+F40+F41+F42+F43+F44</f>
        <v>1365.25</v>
      </c>
      <c r="G45" s="12" t="n">
        <f aca="false">G39+G40+G41+G42+G43+G44</f>
        <v>1465.25</v>
      </c>
      <c r="H45" s="12" t="n">
        <f aca="false">H39+H40+H41+H42+H43+H44</f>
        <v>1487.75</v>
      </c>
      <c r="I45" s="12" t="n">
        <f aca="false">I39+I40+I41+I42+I43+I44</f>
        <v>1487.75</v>
      </c>
      <c r="J45" s="12" t="n">
        <f aca="false">J39+J40+J41+J42+J43+J44</f>
        <v>1487.75</v>
      </c>
      <c r="K45" s="12" t="n">
        <f aca="false">K39+K40+K41+K42+K43+K44</f>
        <v>1487.75</v>
      </c>
      <c r="L45" s="12" t="n">
        <f aca="false">L39+L40+L41+L42+L43+L44</f>
        <v>1487.75</v>
      </c>
      <c r="M45" s="12" t="n">
        <f aca="false">M39+M40+M41+M42+M43+M44</f>
        <v>1587.75</v>
      </c>
      <c r="N45" s="12" t="n">
        <f aca="false">N39+N40+N41+N42+N43+N44</f>
        <v>1842.75</v>
      </c>
      <c r="O45" s="12" t="n">
        <f aca="false">O39+O40+O41+O42+O43+O44</f>
        <v>1840.25</v>
      </c>
      <c r="P45" s="12" t="n">
        <f aca="false">P39+P40+P41+P42+P43+P44</f>
        <v>1840.25</v>
      </c>
      <c r="Q45" s="12" t="n">
        <f aca="false">Q39+Q40+Q41+Q42+Q43+Q44</f>
        <v>1840.25</v>
      </c>
      <c r="R45" s="12" t="n">
        <f aca="false">R39+R40+R41+R42+R43+R44</f>
        <v>1840.25</v>
      </c>
      <c r="S45" s="12" t="n">
        <f aca="false">S39+S40+S41+S42+S43+S44</f>
        <v>1840.25</v>
      </c>
      <c r="T45" s="12" t="n">
        <f aca="false">T39+T40+T41+T42+T43+T44</f>
        <v>1815.25</v>
      </c>
      <c r="U45" s="12" t="n">
        <f aca="false">U39+U40+U41+U42+U43+U44</f>
        <v>1815.25</v>
      </c>
      <c r="V45" s="12" t="n">
        <f aca="false">V39+V40+V41+V42+V43+V44</f>
        <v>1815.25</v>
      </c>
      <c r="W45" s="12" t="n">
        <f aca="false">W39+W40+W41+W42+W43+W44</f>
        <v>1890.25</v>
      </c>
      <c r="X45" s="12" t="n">
        <f aca="false">X39+X40+X41+X42+X43+X44</f>
        <v>1815.25</v>
      </c>
      <c r="Y45" s="12" t="n">
        <f aca="false">Y39+Y40+Y41+Y42+Y43+Y44</f>
        <v>1890.25</v>
      </c>
      <c r="Z45" s="12" t="n">
        <f aca="false">Z39+Z40+Z41+Z42+Z43+Z44</f>
        <v>16643</v>
      </c>
      <c r="AA45" s="12" t="n">
        <f aca="false">AA39+AA40+AA41+AA42+AA43+AA44</f>
        <v>22085.5</v>
      </c>
    </row>
    <row r="47" customFormat="false" ht="15" hidden="false" customHeight="false" outlineLevel="0" collapsed="false">
      <c r="A47" s="3" t="s">
        <v>66</v>
      </c>
      <c r="B47" s="14" t="n">
        <f aca="false">B10+B19+B29+B36+B45</f>
        <v>13025.25</v>
      </c>
      <c r="C47" s="14" t="n">
        <f aca="false">C10+C19+C29+C36+C45</f>
        <v>7722.75</v>
      </c>
      <c r="D47" s="14" t="n">
        <f aca="false">D10+D19+D29+D36+D45</f>
        <v>13917.75</v>
      </c>
      <c r="E47" s="14" t="n">
        <f aca="false">E10+E19+E29+E36+E45</f>
        <v>16280.25</v>
      </c>
      <c r="F47" s="14" t="n">
        <f aca="false">F10+F19+F29+F36+F45</f>
        <v>16280.25</v>
      </c>
      <c r="G47" s="14" t="n">
        <f aca="false">G10+G19+G29+G36+G45</f>
        <v>18380.25</v>
      </c>
      <c r="H47" s="14" t="n">
        <f aca="false">H10+H19+H29+H36+H45</f>
        <v>18852.75</v>
      </c>
      <c r="I47" s="14" t="n">
        <f aca="false">I10+I19+I29+I36+I45</f>
        <v>18852.75</v>
      </c>
      <c r="J47" s="14" t="n">
        <f aca="false">J10+J19+J29+J36+J45</f>
        <v>18852.75</v>
      </c>
      <c r="K47" s="14" t="n">
        <f aca="false">K10+K19+K29+K36+K45</f>
        <v>18852.75</v>
      </c>
      <c r="L47" s="14" t="n">
        <f aca="false">L10+L19+L29+L36+L45</f>
        <v>18852.75</v>
      </c>
      <c r="M47" s="14" t="n">
        <f aca="false">M10+M19+M29+M36+M45</f>
        <v>20952.75</v>
      </c>
      <c r="N47" s="14" t="n">
        <f aca="false">N10+N19+N29+N36+N45</f>
        <v>24207.75</v>
      </c>
      <c r="O47" s="14" t="n">
        <f aca="false">O10+O19+O29+O36+O45</f>
        <v>24155.25</v>
      </c>
      <c r="P47" s="14" t="n">
        <f aca="false">P10+P19+P29+P36+P45</f>
        <v>24155.25</v>
      </c>
      <c r="Q47" s="14" t="n">
        <f aca="false">Q10+Q19+Q29+Q36+Q45</f>
        <v>24155.25</v>
      </c>
      <c r="R47" s="14" t="n">
        <f aca="false">R10+R19+R29+R36+R45</f>
        <v>24155.25</v>
      </c>
      <c r="S47" s="14" t="n">
        <f aca="false">S10+S19+S29+S36+S45</f>
        <v>24155.25</v>
      </c>
      <c r="T47" s="14" t="n">
        <f aca="false">T10+T19+T29+T36+T45</f>
        <v>23630.25</v>
      </c>
      <c r="U47" s="14" t="n">
        <f aca="false">U10+U19+U29+U36+U45</f>
        <v>23630.25</v>
      </c>
      <c r="V47" s="14" t="n">
        <f aca="false">V10+V19+V29+V36+V45</f>
        <v>23630.25</v>
      </c>
      <c r="W47" s="14" t="n">
        <f aca="false">W10+W19+W29+W36+W45</f>
        <v>25205.25</v>
      </c>
      <c r="X47" s="14" t="n">
        <f aca="false">X10+X19+X29+X36+X45</f>
        <v>23630.25</v>
      </c>
      <c r="Y47" s="14" t="n">
        <f aca="false">Y10+Y19+Y29+Y36+Y45</f>
        <v>25205.25</v>
      </c>
      <c r="Z47" s="14" t="n">
        <f aca="false">Z10+Z19+Z29+Z36+Z45</f>
        <v>200823</v>
      </c>
      <c r="AA47" s="14" t="n">
        <f aca="false">AA10+AA19+AA29+AA36+AA45</f>
        <v>289915.5</v>
      </c>
    </row>
  </sheetData>
  <mergeCells count="2">
    <mergeCell ref="A1:AA1"/>
    <mergeCell ref="A2:AA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22"/>
  </cols>
  <sheetData>
    <row r="1" customFormat="false" ht="17.35" hidden="false" customHeight="false" outlineLevel="0" collapsed="false">
      <c r="A1" s="1" t="s">
        <v>67</v>
      </c>
      <c r="B1" s="1"/>
      <c r="C1" s="1"/>
      <c r="D1" s="1"/>
    </row>
    <row r="3" customFormat="false" ht="15" hidden="false" customHeight="false" outlineLevel="0" collapsed="false">
      <c r="A3" s="15" t="s">
        <v>68</v>
      </c>
      <c r="B3" s="15" t="s">
        <v>69</v>
      </c>
      <c r="C3" s="15" t="s">
        <v>70</v>
      </c>
      <c r="D3" s="15" t="s">
        <v>71</v>
      </c>
    </row>
    <row r="4" customFormat="false" ht="15" hidden="false" customHeight="false" outlineLevel="0" collapsed="false">
      <c r="A4" s="16" t="s">
        <v>72</v>
      </c>
      <c r="B4" s="13" t="n">
        <f aca="false">'Piano Investimenti 24 Mesi'!Z10</f>
        <v>79800</v>
      </c>
      <c r="C4" s="13" t="n">
        <f aca="false">'Piano Investimenti 24 Mesi'!AA10</f>
        <v>112800</v>
      </c>
      <c r="D4" s="13" t="n">
        <f aca="false">B4+C4</f>
        <v>192600</v>
      </c>
    </row>
    <row r="5" customFormat="false" ht="15" hidden="false" customHeight="false" outlineLevel="0" collapsed="false">
      <c r="A5" s="16" t="s">
        <v>73</v>
      </c>
      <c r="B5" s="13" t="n">
        <f aca="false">'Piano Investimenti 24 Mesi'!Z19</f>
        <v>86100</v>
      </c>
      <c r="C5" s="13" t="n">
        <f aca="false">'Piano Investimenti 24 Mesi'!AA19</f>
        <v>135600</v>
      </c>
      <c r="D5" s="13" t="n">
        <f aca="false">B5+C5</f>
        <v>221700</v>
      </c>
    </row>
    <row r="6" customFormat="false" ht="15" hidden="false" customHeight="false" outlineLevel="0" collapsed="false">
      <c r="A6" s="16" t="s">
        <v>74</v>
      </c>
      <c r="B6" s="13" t="n">
        <f aca="false">'Piano Investimenti 24 Mesi'!Z29</f>
        <v>3380</v>
      </c>
      <c r="C6" s="13" t="n">
        <f aca="false">'Piano Investimenti 24 Mesi'!AA29</f>
        <v>5630</v>
      </c>
      <c r="D6" s="13" t="n">
        <f aca="false">B6+C6</f>
        <v>9010</v>
      </c>
    </row>
    <row r="7" customFormat="false" ht="15" hidden="false" customHeight="false" outlineLevel="0" collapsed="false">
      <c r="A7" s="16" t="s">
        <v>75</v>
      </c>
      <c r="B7" s="13" t="n">
        <f aca="false">'Piano Investimenti 24 Mesi'!Z36</f>
        <v>14900</v>
      </c>
      <c r="C7" s="13" t="n">
        <f aca="false">'Piano Investimenti 24 Mesi'!AA36</f>
        <v>13800</v>
      </c>
      <c r="D7" s="13" t="n">
        <f aca="false">B7+C7</f>
        <v>28700</v>
      </c>
    </row>
    <row r="8" customFormat="false" ht="15" hidden="false" customHeight="false" outlineLevel="0" collapsed="false">
      <c r="A8" s="16" t="s">
        <v>76</v>
      </c>
      <c r="B8" s="13" t="n">
        <f aca="false">'Piano Investimenti 24 Mesi'!Z45</f>
        <v>16643</v>
      </c>
      <c r="C8" s="13" t="n">
        <f aca="false">'Piano Investimenti 24 Mesi'!AA45</f>
        <v>22085.5</v>
      </c>
      <c r="D8" s="13" t="n">
        <f aca="false">B8+C8</f>
        <v>38728.5</v>
      </c>
    </row>
    <row r="9" customFormat="false" ht="15" hidden="false" customHeight="false" outlineLevel="0" collapsed="false">
      <c r="A9" s="17" t="s">
        <v>77</v>
      </c>
      <c r="B9" s="18" t="n">
        <f aca="false">SUM(B4:B8)</f>
        <v>200823</v>
      </c>
      <c r="C9" s="18" t="n">
        <f aca="false">SUM(C4:C8)</f>
        <v>289915.5</v>
      </c>
      <c r="D9" s="18" t="n">
        <f aca="false">SUM(D4:D8)</f>
        <v>490738.5</v>
      </c>
    </row>
    <row r="11" customFormat="false" ht="15" hidden="false" customHeight="false" outlineLevel="0" collapsed="false">
      <c r="A11" s="19" t="s">
        <v>78</v>
      </c>
      <c r="B11" s="19"/>
      <c r="C11" s="19"/>
      <c r="D11" s="19"/>
    </row>
    <row r="12" customFormat="false" ht="15" hidden="false" customHeight="false" outlineLevel="0" collapsed="false">
      <c r="A12" s="15" t="s">
        <v>79</v>
      </c>
      <c r="B12" s="15" t="s">
        <v>80</v>
      </c>
      <c r="C12" s="15" t="s">
        <v>81</v>
      </c>
      <c r="D12" s="15" t="s">
        <v>82</v>
      </c>
    </row>
    <row r="13" customFormat="false" ht="15" hidden="false" customHeight="false" outlineLevel="0" collapsed="false">
      <c r="A13" s="16" t="s">
        <v>83</v>
      </c>
      <c r="B13" s="20" t="s">
        <v>84</v>
      </c>
      <c r="C13" s="9" t="n">
        <f aca="false">D9*0.9</f>
        <v>441664.65</v>
      </c>
      <c r="D13" s="21" t="s">
        <v>85</v>
      </c>
    </row>
    <row r="14" customFormat="false" ht="15" hidden="false" customHeight="false" outlineLevel="0" collapsed="false">
      <c r="A14" s="16" t="s">
        <v>86</v>
      </c>
      <c r="B14" s="20" t="s">
        <v>87</v>
      </c>
      <c r="C14" s="9" t="n">
        <f aca="false">D9*0.9*0.2</f>
        <v>88332.93</v>
      </c>
      <c r="D14" s="21" t="s">
        <v>88</v>
      </c>
    </row>
    <row r="15" customFormat="false" ht="15" hidden="false" customHeight="false" outlineLevel="0" collapsed="false">
      <c r="A15" s="16" t="s">
        <v>89</v>
      </c>
      <c r="B15" s="20" t="s">
        <v>90</v>
      </c>
      <c r="C15" s="9" t="n">
        <f aca="false">D9*0.9*0.8</f>
        <v>353331.72</v>
      </c>
      <c r="D15" s="21" t="s">
        <v>91</v>
      </c>
    </row>
    <row r="16" customFormat="false" ht="15" hidden="false" customHeight="false" outlineLevel="0" collapsed="false">
      <c r="A16" s="16" t="s">
        <v>92</v>
      </c>
      <c r="B16" s="20" t="s">
        <v>93</v>
      </c>
      <c r="C16" s="9" t="n">
        <f aca="false">D9*0.1</f>
        <v>49073.85</v>
      </c>
      <c r="D16" s="21" t="s">
        <v>94</v>
      </c>
    </row>
  </sheetData>
  <mergeCells count="2">
    <mergeCell ref="A1:D1"/>
    <mergeCell ref="A11:D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20"/>
    <col collapsed="false" customWidth="true" hidden="false" outlineLevel="0" max="6" min="4" style="0" width="22"/>
  </cols>
  <sheetData>
    <row r="1" customFormat="false" ht="17.35" hidden="false" customHeight="false" outlineLevel="0" collapsed="false">
      <c r="A1" s="1" t="s">
        <v>95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96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22" t="s">
        <v>97</v>
      </c>
    </row>
    <row r="5" customFormat="false" ht="15" hidden="false" customHeight="false" outlineLevel="0" collapsed="false">
      <c r="A5" s="23" t="s">
        <v>98</v>
      </c>
      <c r="B5" s="24" t="n">
        <f aca="false">'Riepilogo Agevolazione'!C15</f>
        <v>353331.72</v>
      </c>
    </row>
    <row r="6" customFormat="false" ht="15" hidden="false" customHeight="false" outlineLevel="0" collapsed="false">
      <c r="A6" s="23" t="s">
        <v>99</v>
      </c>
      <c r="B6" s="25" t="n">
        <v>10</v>
      </c>
    </row>
    <row r="7" customFormat="false" ht="15" hidden="false" customHeight="false" outlineLevel="0" collapsed="false">
      <c r="A7" s="23" t="s">
        <v>100</v>
      </c>
      <c r="B7" s="23" t="n">
        <f aca="false">B6*2</f>
        <v>20</v>
      </c>
    </row>
    <row r="8" customFormat="false" ht="15" hidden="false" customHeight="false" outlineLevel="0" collapsed="false">
      <c r="A8" s="23" t="s">
        <v>101</v>
      </c>
      <c r="B8" s="24" t="n">
        <f aca="false">B5/B7</f>
        <v>17666.586</v>
      </c>
    </row>
    <row r="9" customFormat="false" ht="15" hidden="false" customHeight="false" outlineLevel="0" collapsed="false">
      <c r="A9" s="23" t="s">
        <v>102</v>
      </c>
      <c r="B9" s="24" t="n">
        <f aca="false">B8/6</f>
        <v>2944.431</v>
      </c>
    </row>
    <row r="11" customFormat="false" ht="15" hidden="false" customHeight="false" outlineLevel="0" collapsed="false">
      <c r="A11" s="15" t="s">
        <v>103</v>
      </c>
      <c r="B11" s="15" t="s">
        <v>104</v>
      </c>
      <c r="C11" s="15" t="s">
        <v>105</v>
      </c>
      <c r="D11" s="15" t="s">
        <v>106</v>
      </c>
      <c r="E11" s="15" t="s">
        <v>107</v>
      </c>
    </row>
    <row r="12" customFormat="false" ht="15" hidden="false" customHeight="false" outlineLevel="0" collapsed="false">
      <c r="A12" s="26" t="n">
        <v>1</v>
      </c>
      <c r="B12" s="27" t="n">
        <v>46356</v>
      </c>
      <c r="C12" s="28" t="n">
        <f aca="false">$B$8</f>
        <v>17666.586</v>
      </c>
      <c r="D12" s="28" t="n">
        <f aca="false">C12*1</f>
        <v>17666.586</v>
      </c>
      <c r="E12" s="28" t="n">
        <f aca="false">$B$5-D12</f>
        <v>335665.134</v>
      </c>
    </row>
    <row r="13" customFormat="false" ht="15" hidden="false" customHeight="false" outlineLevel="0" collapsed="false">
      <c r="A13" s="29" t="n">
        <v>2</v>
      </c>
      <c r="B13" s="30" t="n">
        <v>46538</v>
      </c>
      <c r="C13" s="13" t="n">
        <f aca="false">$B$8</f>
        <v>17666.586</v>
      </c>
      <c r="D13" s="13" t="n">
        <f aca="false">C13*2</f>
        <v>35333.172</v>
      </c>
      <c r="E13" s="13" t="n">
        <f aca="false">$B$5-D13</f>
        <v>317998.548</v>
      </c>
    </row>
    <row r="14" customFormat="false" ht="15" hidden="false" customHeight="false" outlineLevel="0" collapsed="false">
      <c r="A14" s="26" t="n">
        <v>3</v>
      </c>
      <c r="B14" s="27" t="n">
        <v>46721</v>
      </c>
      <c r="C14" s="28" t="n">
        <f aca="false">$B$8</f>
        <v>17666.586</v>
      </c>
      <c r="D14" s="28" t="n">
        <f aca="false">C14*3</f>
        <v>52999.758</v>
      </c>
      <c r="E14" s="28" t="n">
        <f aca="false">$B$5-D14</f>
        <v>300331.962</v>
      </c>
    </row>
    <row r="15" customFormat="false" ht="15" hidden="false" customHeight="false" outlineLevel="0" collapsed="false">
      <c r="A15" s="29" t="n">
        <v>4</v>
      </c>
      <c r="B15" s="30" t="n">
        <v>46904</v>
      </c>
      <c r="C15" s="13" t="n">
        <f aca="false">$B$8</f>
        <v>17666.586</v>
      </c>
      <c r="D15" s="13" t="n">
        <f aca="false">C15*4</f>
        <v>70666.344</v>
      </c>
      <c r="E15" s="13" t="n">
        <f aca="false">$B$5-D15</f>
        <v>282665.376</v>
      </c>
    </row>
    <row r="16" customFormat="false" ht="15" hidden="false" customHeight="false" outlineLevel="0" collapsed="false">
      <c r="A16" s="26" t="n">
        <v>5</v>
      </c>
      <c r="B16" s="27" t="n">
        <v>47087</v>
      </c>
      <c r="C16" s="28" t="n">
        <f aca="false">$B$8</f>
        <v>17666.586</v>
      </c>
      <c r="D16" s="28" t="n">
        <f aca="false">C16*5</f>
        <v>88332.93</v>
      </c>
      <c r="E16" s="28" t="n">
        <f aca="false">$B$5-D16</f>
        <v>264998.79</v>
      </c>
    </row>
    <row r="17" customFormat="false" ht="15" hidden="false" customHeight="false" outlineLevel="0" collapsed="false">
      <c r="A17" s="29" t="n">
        <v>6</v>
      </c>
      <c r="B17" s="30" t="n">
        <v>47269</v>
      </c>
      <c r="C17" s="13" t="n">
        <f aca="false">$B$8</f>
        <v>17666.586</v>
      </c>
      <c r="D17" s="13" t="n">
        <f aca="false">C17*6</f>
        <v>105999.516</v>
      </c>
      <c r="E17" s="13" t="n">
        <f aca="false">$B$5-D17</f>
        <v>247332.204</v>
      </c>
    </row>
    <row r="18" customFormat="false" ht="15" hidden="false" customHeight="false" outlineLevel="0" collapsed="false">
      <c r="A18" s="26" t="n">
        <v>7</v>
      </c>
      <c r="B18" s="27" t="n">
        <v>47452</v>
      </c>
      <c r="C18" s="28" t="n">
        <f aca="false">$B$8</f>
        <v>17666.586</v>
      </c>
      <c r="D18" s="28" t="n">
        <f aca="false">C18*7</f>
        <v>123666.102</v>
      </c>
      <c r="E18" s="28" t="n">
        <f aca="false">$B$5-D18</f>
        <v>229665.618</v>
      </c>
    </row>
    <row r="19" customFormat="false" ht="15" hidden="false" customHeight="false" outlineLevel="0" collapsed="false">
      <c r="A19" s="29" t="n">
        <v>8</v>
      </c>
      <c r="B19" s="30" t="n">
        <v>47634</v>
      </c>
      <c r="C19" s="13" t="n">
        <f aca="false">$B$8</f>
        <v>17666.586</v>
      </c>
      <c r="D19" s="13" t="n">
        <f aca="false">C19*8</f>
        <v>141332.688</v>
      </c>
      <c r="E19" s="13" t="n">
        <f aca="false">$B$5-D19</f>
        <v>211999.032</v>
      </c>
    </row>
    <row r="20" customFormat="false" ht="15" hidden="false" customHeight="false" outlineLevel="0" collapsed="false">
      <c r="A20" s="26" t="n">
        <v>9</v>
      </c>
      <c r="B20" s="27" t="n">
        <v>47817</v>
      </c>
      <c r="C20" s="28" t="n">
        <f aca="false">$B$8</f>
        <v>17666.586</v>
      </c>
      <c r="D20" s="28" t="n">
        <f aca="false">C20*9</f>
        <v>158999.274</v>
      </c>
      <c r="E20" s="28" t="n">
        <f aca="false">$B$5-D20</f>
        <v>194332.446</v>
      </c>
    </row>
    <row r="21" customFormat="false" ht="15" hidden="false" customHeight="false" outlineLevel="0" collapsed="false">
      <c r="A21" s="29" t="n">
        <v>10</v>
      </c>
      <c r="B21" s="30" t="n">
        <v>47999</v>
      </c>
      <c r="C21" s="13" t="n">
        <f aca="false">$B$8</f>
        <v>17666.586</v>
      </c>
      <c r="D21" s="13" t="n">
        <f aca="false">C21*10</f>
        <v>176665.86</v>
      </c>
      <c r="E21" s="13" t="n">
        <f aca="false">$B$5-D21</f>
        <v>176665.86</v>
      </c>
    </row>
    <row r="22" customFormat="false" ht="15" hidden="false" customHeight="false" outlineLevel="0" collapsed="false">
      <c r="A22" s="26" t="n">
        <v>11</v>
      </c>
      <c r="B22" s="27" t="n">
        <v>48182</v>
      </c>
      <c r="C22" s="28" t="n">
        <f aca="false">$B$8</f>
        <v>17666.586</v>
      </c>
      <c r="D22" s="28" t="n">
        <f aca="false">C22*11</f>
        <v>194332.446</v>
      </c>
      <c r="E22" s="28" t="n">
        <f aca="false">$B$5-D22</f>
        <v>158999.274</v>
      </c>
    </row>
    <row r="23" customFormat="false" ht="15" hidden="false" customHeight="false" outlineLevel="0" collapsed="false">
      <c r="A23" s="29" t="n">
        <v>12</v>
      </c>
      <c r="B23" s="30" t="n">
        <v>48365</v>
      </c>
      <c r="C23" s="13" t="n">
        <f aca="false">$B$8</f>
        <v>17666.586</v>
      </c>
      <c r="D23" s="13" t="n">
        <f aca="false">C23*12</f>
        <v>211999.032</v>
      </c>
      <c r="E23" s="13" t="n">
        <f aca="false">$B$5-D23</f>
        <v>141332.688</v>
      </c>
    </row>
    <row r="24" customFormat="false" ht="15" hidden="false" customHeight="false" outlineLevel="0" collapsed="false">
      <c r="A24" s="26" t="n">
        <v>13</v>
      </c>
      <c r="B24" s="27" t="n">
        <v>48548</v>
      </c>
      <c r="C24" s="28" t="n">
        <f aca="false">$B$8</f>
        <v>17666.586</v>
      </c>
      <c r="D24" s="28" t="n">
        <f aca="false">C24*13</f>
        <v>229665.618</v>
      </c>
      <c r="E24" s="28" t="n">
        <f aca="false">$B$5-D24</f>
        <v>123666.102</v>
      </c>
    </row>
    <row r="25" customFormat="false" ht="15" hidden="false" customHeight="false" outlineLevel="0" collapsed="false">
      <c r="A25" s="29" t="n">
        <v>14</v>
      </c>
      <c r="B25" s="30" t="n">
        <v>48730</v>
      </c>
      <c r="C25" s="13" t="n">
        <f aca="false">$B$8</f>
        <v>17666.586</v>
      </c>
      <c r="D25" s="13" t="n">
        <f aca="false">C25*14</f>
        <v>247332.204</v>
      </c>
      <c r="E25" s="13" t="n">
        <f aca="false">$B$5-D25</f>
        <v>105999.516</v>
      </c>
    </row>
    <row r="26" customFormat="false" ht="15" hidden="false" customHeight="false" outlineLevel="0" collapsed="false">
      <c r="A26" s="26" t="n">
        <v>15</v>
      </c>
      <c r="B26" s="27" t="n">
        <v>48913</v>
      </c>
      <c r="C26" s="28" t="n">
        <f aca="false">$B$8</f>
        <v>17666.586</v>
      </c>
      <c r="D26" s="28" t="n">
        <f aca="false">C26*15</f>
        <v>264998.79</v>
      </c>
      <c r="E26" s="28" t="n">
        <f aca="false">$B$5-D26</f>
        <v>88332.93</v>
      </c>
    </row>
    <row r="27" customFormat="false" ht="15" hidden="false" customHeight="false" outlineLevel="0" collapsed="false">
      <c r="A27" s="29" t="n">
        <v>16</v>
      </c>
      <c r="B27" s="30" t="n">
        <v>49095</v>
      </c>
      <c r="C27" s="13" t="n">
        <f aca="false">$B$8</f>
        <v>17666.586</v>
      </c>
      <c r="D27" s="13" t="n">
        <f aca="false">C27*16</f>
        <v>282665.376</v>
      </c>
      <c r="E27" s="13" t="n">
        <f aca="false">$B$5-D27</f>
        <v>70666.344</v>
      </c>
    </row>
    <row r="28" customFormat="false" ht="15" hidden="false" customHeight="false" outlineLevel="0" collapsed="false">
      <c r="A28" s="26" t="n">
        <v>17</v>
      </c>
      <c r="B28" s="27" t="n">
        <v>49278</v>
      </c>
      <c r="C28" s="28" t="n">
        <f aca="false">$B$8</f>
        <v>17666.586</v>
      </c>
      <c r="D28" s="28" t="n">
        <f aca="false">C28*17</f>
        <v>300331.962</v>
      </c>
      <c r="E28" s="28" t="n">
        <f aca="false">$B$5-D28</f>
        <v>52999.758</v>
      </c>
    </row>
    <row r="29" customFormat="false" ht="15" hidden="false" customHeight="false" outlineLevel="0" collapsed="false">
      <c r="A29" s="29" t="n">
        <v>18</v>
      </c>
      <c r="B29" s="30" t="n">
        <v>49460</v>
      </c>
      <c r="C29" s="13" t="n">
        <f aca="false">$B$8</f>
        <v>17666.586</v>
      </c>
      <c r="D29" s="13" t="n">
        <f aca="false">C29*18</f>
        <v>317998.548</v>
      </c>
      <c r="E29" s="13" t="n">
        <f aca="false">$B$5-D29</f>
        <v>35333.172</v>
      </c>
    </row>
    <row r="30" customFormat="false" ht="15" hidden="false" customHeight="false" outlineLevel="0" collapsed="false">
      <c r="A30" s="26" t="n">
        <v>19</v>
      </c>
      <c r="B30" s="27" t="n">
        <v>49643</v>
      </c>
      <c r="C30" s="28" t="n">
        <f aca="false">$B$8</f>
        <v>17666.586</v>
      </c>
      <c r="D30" s="28" t="n">
        <f aca="false">C30*19</f>
        <v>335665.134</v>
      </c>
      <c r="E30" s="28" t="n">
        <f aca="false">$B$5-D30</f>
        <v>17666.586</v>
      </c>
    </row>
    <row r="31" customFormat="false" ht="15" hidden="false" customHeight="false" outlineLevel="0" collapsed="false">
      <c r="A31" s="29" t="n">
        <v>20</v>
      </c>
      <c r="B31" s="30" t="n">
        <v>49826</v>
      </c>
      <c r="C31" s="13" t="n">
        <f aca="false">$B$8</f>
        <v>17666.586</v>
      </c>
      <c r="D31" s="13" t="n">
        <f aca="false">C31*20</f>
        <v>353331.72</v>
      </c>
      <c r="E31" s="13" t="n">
        <f aca="false">$B$5-D31</f>
        <v>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2026-03-21T10:38:17Z</dcterms:created>
  <dc:creator>openpyxl</dc:creator>
  <dc:description/>
  <dc:language>en-US</dc:language>
  <cp:lastModifiedBy/>
  <dcterms:modified xsi:type="dcterms:W3CDTF">2026-03-21T10:38:17Z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